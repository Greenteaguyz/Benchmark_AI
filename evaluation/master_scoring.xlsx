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30936" windowHeight="18696" tabRatio="600" firstSheet="0" activeTab="0" autoFilterDateGrouping="1"/>
  </bookViews>
  <sheets>
    <sheet xmlns:r="http://schemas.openxmlformats.org/officeDocument/2006/relationships" name="Scoring Register" sheetId="1" state="visible" r:id="rId1"/>
    <sheet xmlns:r="http://schemas.openxmlformats.org/officeDocument/2006/relationships" name="Summary Dashboard" sheetId="2" state="visible" r:id="rId2"/>
    <sheet xmlns:r="http://schemas.openxmlformats.org/officeDocument/2006/relationships" name="Rubric Guide" sheetId="3" state="visible" r:id="rId3"/>
    <sheet xmlns:r="http://schemas.openxmlformats.org/officeDocument/2006/relationships" name="Question Bank &amp; Key" sheetId="4" state="visible" r:id="rId4"/>
  </sheets>
  <definedNames/>
  <calcPr calcId="191029" fullCalcOnLoad="1"/>
</workbook>
</file>

<file path=xl/styles.xml><?xml version="1.0" encoding="utf-8"?>
<styleSheet xmlns="http://schemas.openxmlformats.org/spreadsheetml/2006/main">
  <numFmts count="0"/>
  <fonts count="7">
    <font>
      <name val="Calibri"/>
      <family val="2"/>
      <color theme="1"/>
      <sz val="11"/>
      <scheme val="minor"/>
    </font>
    <font>
      <name val="Segoe UI"/>
      <b val="1"/>
      <color rgb="FFFFFFFF"/>
      <sz val="10"/>
    </font>
    <font>
      <name val="Segoe UI"/>
      <sz val="10"/>
    </font>
    <font>
      <name val="Segoe UI"/>
      <b val="1"/>
      <sz val="12"/>
    </font>
    <font>
      <name val="Segoe UI"/>
      <b val="1"/>
      <sz val="10"/>
    </font>
    <font>
      <name val="Segoe UI"/>
      <family val="2"/>
      <sz val="10"/>
    </font>
    <font>
      <name val="Calibri"/>
      <family val="2"/>
      <color theme="1"/>
      <sz val="36"/>
      <scheme val="minor"/>
    </font>
  </fonts>
  <fills count="4">
    <fill>
      <patternFill/>
    </fill>
    <fill>
      <patternFill patternType="gray125"/>
    </fill>
    <fill>
      <patternFill patternType="solid">
        <fgColor rgb="FF1F2937"/>
        <bgColor rgb="FF1F2937"/>
      </patternFill>
    </fill>
    <fill>
      <patternFill patternType="solid">
        <fgColor rgb="FF374151"/>
        <bgColor rgb="FF374151"/>
      </patternFill>
    </fill>
  </fills>
  <borders count="5">
    <border>
      <left/>
      <right/>
      <top/>
      <bottom/>
      <diagonal/>
    </border>
    <border>
      <left style="thin">
        <color rgb="FFE5E7EB"/>
      </left>
      <right style="thin">
        <color rgb="FFE5E7EB"/>
      </right>
      <top style="thin">
        <color rgb="FFE5E7EB"/>
      </top>
      <bottom style="thin">
        <color rgb="FFE5E7EB"/>
      </bottom>
      <diagonal/>
    </border>
    <border>
      <left style="thin">
        <color rgb="FFE5E7EB"/>
      </left>
      <right style="thin">
        <color rgb="FFE5E7EB"/>
      </right>
      <top style="thin">
        <color rgb="FFE5E7EB"/>
      </top>
      <bottom style="thin">
        <color rgb="FFE5E7EB"/>
      </bottom>
      <diagonal/>
    </border>
    <border>
      <left style="thin">
        <color rgb="FFE5E7EB"/>
      </left>
      <right style="thin">
        <color rgb="FFE5E7EB"/>
      </right>
      <top style="thin">
        <color rgb="FFE5E7EB"/>
      </top>
      <bottom style="thin">
        <color rgb="FFE5E7EB"/>
      </bottom>
      <diagonal/>
    </border>
    <border>
      <left style="thin">
        <color rgb="00E5E7EB"/>
      </left>
      <right style="thin">
        <color rgb="00E5E7EB"/>
      </right>
      <top style="thin">
        <color rgb="00E5E7EB"/>
      </top>
      <bottom style="thin">
        <color rgb="00E5E7EB"/>
      </bottom>
    </border>
  </borders>
  <cellStyleXfs count="1">
    <xf numFmtId="0" fontId="0" fillId="0" borderId="0"/>
  </cellStyleXfs>
  <cellXfs count="21">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3" fillId="0" borderId="0" pivotButton="0" quotePrefix="0" xfId="0"/>
    <xf numFmtId="0" fontId="4" fillId="0" borderId="1" applyAlignment="1" pivotButton="0" quotePrefix="0" xfId="0">
      <alignment horizontal="left" vertical="center"/>
    </xf>
    <xf numFmtId="0" fontId="2" fillId="0" borderId="1" applyAlignment="1" pivotButton="0" quotePrefix="0" xfId="0">
      <alignment horizontal="center" vertical="center"/>
    </xf>
    <xf numFmtId="0" fontId="1" fillId="3" borderId="1" applyAlignment="1" pivotButton="0" quotePrefix="0" xfId="0">
      <alignment horizontal="center" vertical="center"/>
    </xf>
    <xf numFmtId="0" fontId="2" fillId="0" borderId="1" applyAlignment="1" pivotButton="0" quotePrefix="0" xfId="0">
      <alignment horizontal="left" vertical="top"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2" fillId="0" borderId="2" applyAlignment="1" pivotButton="0" quotePrefix="0" xfId="0">
      <alignment horizontal="center" vertical="center"/>
    </xf>
    <xf numFmtId="0" fontId="2" fillId="0" borderId="2" applyAlignment="1" pivotButton="0" quotePrefix="0" xfId="0">
      <alignment horizontal="left" vertical="center"/>
    </xf>
    <xf numFmtId="0" fontId="2" fillId="0" borderId="2" applyAlignment="1" pivotButton="0" quotePrefix="0" xfId="0">
      <alignment horizontal="left" vertical="top" wrapText="1"/>
    </xf>
    <xf numFmtId="0" fontId="5" fillId="0" borderId="2" applyAlignment="1" pivotButton="0" quotePrefix="0" xfId="0">
      <alignment horizontal="left" vertical="center" wrapText="1"/>
    </xf>
    <xf numFmtId="0" fontId="2" fillId="0" borderId="3" applyAlignment="1" pivotButton="0" quotePrefix="0" xfId="0">
      <alignment horizontal="left" vertical="center" wrapText="1"/>
    </xf>
    <xf numFmtId="0" fontId="2" fillId="0" borderId="3" applyAlignment="1" pivotButton="0" quotePrefix="0" xfId="0">
      <alignment horizontal="center" vertical="center" wrapText="1"/>
    </xf>
    <xf numFmtId="0" fontId="6" fillId="0" borderId="0" applyAlignment="1" pivotButton="0" quotePrefix="0" xfId="0">
      <alignment horizontal="center" vertical="center"/>
    </xf>
    <xf numFmtId="0" fontId="0" fillId="0" borderId="0" pivotButton="0" quotePrefix="0" xfId="0"/>
    <xf numFmtId="0" fontId="2" fillId="0" borderId="4" applyAlignment="1" pivotButton="0" quotePrefix="0" xfId="0">
      <alignment horizontal="left" vertical="center" wrapText="1"/>
    </xf>
    <xf numFmtId="0" fontId="2" fillId="0" borderId="4" applyAlignment="1" pivotButton="0" quotePrefix="0" xfId="0">
      <alignment horizontal="lef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V53"/>
  <sheetViews>
    <sheetView tabSelected="1" zoomScale="40" zoomScaleNormal="40" workbookViewId="0">
      <pane xSplit="3" ySplit="1" topLeftCell="D2" activePane="bottomRight" state="frozen"/>
      <selection pane="topRight" activeCell="A1" sqref="A1"/>
      <selection pane="bottomLeft" activeCell="A1" sqref="A1"/>
      <selection pane="bottomRight" activeCell="AC49" sqref="AC49"/>
    </sheetView>
  </sheetViews>
  <sheetFormatPr baseColWidth="8" defaultRowHeight="14.4"/>
  <cols>
    <col width="14" customWidth="1" style="18" min="1" max="1"/>
    <col width="13" customWidth="1" style="18" min="2" max="2"/>
    <col width="22" customWidth="1" style="18" min="3" max="3"/>
    <col width="24" customWidth="1" style="18" min="4" max="4"/>
    <col width="12" customWidth="1" style="18" min="5" max="5"/>
    <col width="45" customWidth="1" style="18" min="6" max="6"/>
    <col width="48" customWidth="1" style="18" min="7" max="7"/>
    <col width="20" customWidth="1" style="18" min="8" max="8"/>
    <col width="23" customWidth="1" style="18" min="9" max="9"/>
    <col width="25" customWidth="1" style="18" min="10" max="10"/>
    <col width="20" customWidth="1" style="18" min="11" max="11"/>
    <col width="18" customWidth="1" style="18" min="12" max="12"/>
    <col width="20" customWidth="1" style="18" min="13" max="13"/>
    <col width="18" customWidth="1" style="18" min="14" max="14"/>
    <col width="23" customWidth="1" style="18" min="15" max="15"/>
    <col width="14" customWidth="1" style="18" min="16" max="17"/>
    <col width="16" customWidth="1" style="18" min="18" max="18"/>
    <col width="18" customWidth="1" style="18" min="19" max="20"/>
    <col width="26" customWidth="1" style="18" min="21" max="21"/>
    <col width="32" customWidth="1" style="18" min="22" max="22"/>
    <col width="8.88671875" customWidth="1" style="18" min="24" max="24"/>
  </cols>
  <sheetData>
    <row r="1" ht="28.05" customHeight="1" s="18">
      <c r="A1" s="1" t="inlineStr">
        <is>
          <t>Response ID</t>
        </is>
      </c>
      <c r="B1" s="1" t="inlineStr">
        <is>
          <t>Question ID</t>
        </is>
      </c>
      <c r="C1" s="1" t="inlineStr">
        <is>
          <t>Model</t>
        </is>
      </c>
      <c r="D1" s="1" t="inlineStr">
        <is>
          <t>Category</t>
        </is>
      </c>
      <c r="E1" s="1" t="inlineStr">
        <is>
          <t>Difficulty</t>
        </is>
      </c>
      <c r="F1" s="1" t="inlineStr">
        <is>
          <t>Prompt Used</t>
        </is>
      </c>
      <c r="G1" s="1" t="inlineStr">
        <is>
          <t>Complete Response</t>
        </is>
      </c>
      <c r="H1" s="1" t="inlineStr">
        <is>
          <t>Final Answer (0–2)</t>
        </is>
      </c>
      <c r="I1" s="1" t="inlineStr">
        <is>
          <t>Reasoning Quality (0–2)</t>
        </is>
      </c>
      <c r="J1" s="1" t="inlineStr">
        <is>
          <t>Instruction Following (0–2)</t>
        </is>
      </c>
      <c r="K1" s="1" t="inlineStr">
        <is>
          <t>Factual Support (0–2)</t>
        </is>
      </c>
      <c r="L1" s="1" t="inlineStr">
        <is>
          <t>Total Score (0–8)</t>
        </is>
      </c>
      <c r="M1" s="1" t="inlineStr">
        <is>
          <t>Date &amp; Start Time</t>
        </is>
      </c>
      <c r="N1" s="1" t="inlineStr">
        <is>
          <t>Total Duration (s)</t>
        </is>
      </c>
      <c r="O1" s="1" t="inlineStr">
        <is>
          <t>Generation Duration (s)</t>
        </is>
      </c>
      <c r="P1" s="1" t="inlineStr">
        <is>
          <t>Output Tokens</t>
        </is>
      </c>
      <c r="Q1" s="1" t="inlineStr">
        <is>
          <t>Tokens/sec</t>
        </is>
      </c>
      <c r="R1" s="1" t="inlineStr">
        <is>
          <t>Peak VRAM (GB)</t>
        </is>
      </c>
      <c r="S1" s="1" t="inlineStr">
        <is>
          <t>Completion Status</t>
        </is>
      </c>
      <c r="T1" s="1" t="inlineStr">
        <is>
          <t>Verification Status</t>
        </is>
      </c>
      <c r="U1" s="1" t="inlineStr">
        <is>
          <t>Evidence Reference</t>
        </is>
      </c>
      <c r="V1" s="1" t="inlineStr">
        <is>
          <t>Evaluator Notes</t>
        </is>
      </c>
    </row>
    <row r="2" ht="39.6" customHeight="1" s="18">
      <c r="A2" s="2" t="inlineStr">
        <is>
          <t>Q01_PHI</t>
        </is>
      </c>
      <c r="B2" s="2" t="inlineStr">
        <is>
          <t>Q01</t>
        </is>
      </c>
      <c r="C2" s="3" t="inlineStr">
        <is>
          <t>phi4-mini-reasoning</t>
        </is>
      </c>
      <c r="D2" s="3" t="inlineStr">
        <is>
          <t>Mathematical reasoning</t>
        </is>
      </c>
      <c r="E2" s="2" t="inlineStr">
        <is>
          <t>Easy</t>
        </is>
      </c>
      <c r="F2" s="19" t="inlineStr">
        <is>
          <t>Solve for x: 3x + 12 = 30. Show each step of your calculation clearly and state the final numerical value of x.</t>
        </is>
      </c>
      <c r="G2" s="9" t="inlineStr">
        <is>
          <t>[FINAL ANSWER]
To solve the equation \(3x + 12 = 30\) for \(x\):
1. **Subtract 12 from both sides** to isolate the term with \(x\):
   \[
   3x + 12 - 12 = 30 - 12
   \]
   Simplifying:
   \[
   3x = 18
   \]
2. **Divide both sides by 3** to solve for \(x\):
   \[
   \frac{3x}{3} = \frac{18}{3}
   \]
   Simplifying:
   \[
   x = 6
   \]
**Verification**: Substitute \(x = 6\) back into the original equation:
\[
3(6) + 12 = 18 + 12 = 30
\]
The left side equals the right side, confirming the solution is correct.
**Final numerical value of \(x\)**: \(\boxed{6}\)
[THINKING PROCESS (&lt;think&gt;)]
Okay, so I need to solve the equation 3x + 12 = 30 for x. Let me think about how to approach this step by step. Alright, first, I remember that to solve for a variable like x, I need to isolate it on one side of the equation. That means getting rid of the constants and the coefficient that is multiplied by x.
The equation here is 3x plus 12 equals 30. So, 3x + 12 = 30. The first thing I should do is try to get rid of that 12 that's being added to 3x. To do that, I can subtract 12 from both sides of the equation. That way, I maintain the equality because whatever I do to one side, I do to the other. So subtracting 12 from both sides makes sense.
Let me write that down: 3x + 12 - 12 = 30 - 12. Simplifying both sides, the +12 and -12 on the left side cancel each other out, leaving just 3x. On the right side, 30 minus 12 is 18. So now the equation is 3x = 18. 
Okay, now I need to solve for x, which is multiplied by 3. To get x by itself, I should divide both sides of the equation by 3. That will undo the multiplication by 3. So dividing both sides by 3: 3x divided by 3 is x, and 18 divided by 3 is 6. Therefore, x equals 6. 
Wait, let me check my steps again to make sure I didn't make a mistake. Starting with the original equation: 3x +12 =30. Subtract 12 from both sides: 3x = 18. Then divide by 3: x=6. That seems right. Maybe I can plug the value back into the original equation to verify. 
Plugging x=6 into the left side: 3*(6) +12 = 18 +12 =30, which matches the right side of the equation. So that checks out. Hmm, yeah, that makes sense. So the solution is x=6. I think that's correct. No steps seem to be missing, and the arithmetic is straightforward. Yeah, I'm confident that's the right answer.</t>
        </is>
      </c>
      <c r="H2" s="10" t="n"/>
      <c r="I2" s="10" t="n"/>
      <c r="J2" s="10" t="n"/>
      <c r="K2" s="10" t="n"/>
      <c r="L2" s="10">
        <f>IF(COUNT(H2:K2)&gt;0, SUM(H2:K2), "")</f>
        <v/>
      </c>
      <c r="M2" s="10" t="inlineStr">
        <is>
          <t>2026-09-16 11:49:08</t>
        </is>
      </c>
      <c r="N2" s="10" t="n">
        <v>25.466</v>
      </c>
      <c r="O2" s="10" t="n">
        <v>18.619</v>
      </c>
      <c r="P2" s="10" t="n">
        <v>700</v>
      </c>
      <c r="Q2" s="10">
        <f>IF(AND(ISNUMBER(O2), O2&gt;0, ISNUMBER(P2)), ROUND(P2/O2, 2), IF(AND(ISNUMBER(N2), N2&gt;0, ISNUMBER(P2)), ROUND(P2/N2, 2), ""))</f>
        <v/>
      </c>
      <c r="R2" s="10" t="n">
        <v>3.64</v>
      </c>
      <c r="S2" s="10" t="inlineStr">
        <is>
          <t>Completed</t>
        </is>
      </c>
      <c r="T2" s="10" t="inlineStr">
        <is>
          <t>Pending</t>
        </is>
      </c>
      <c r="U2" s="9" t="inlineStr">
        <is>
          <t>data/responses/Q01_PHI.json</t>
        </is>
      </c>
      <c r="V2" s="9" t="n"/>
    </row>
    <row r="3" ht="39.6" customHeight="1" s="18">
      <c r="A3" s="2" t="inlineStr">
        <is>
          <t>Q01_DSR1</t>
        </is>
      </c>
      <c r="B3" s="2" t="inlineStr">
        <is>
          <t>Q01</t>
        </is>
      </c>
      <c r="C3" s="3" t="inlineStr">
        <is>
          <t>deepseek-r1:7b</t>
        </is>
      </c>
      <c r="D3" s="3" t="inlineStr">
        <is>
          <t>Mathematical reasoning</t>
        </is>
      </c>
      <c r="E3" s="2" t="inlineStr">
        <is>
          <t>Easy</t>
        </is>
      </c>
      <c r="F3" s="19" t="inlineStr">
        <is>
          <t>Solve for x: 3x + 12 = 30. Show each step of your calculation clearly and state the final numerical value of x.</t>
        </is>
      </c>
      <c r="G3" s="9" t="inlineStr">
        <is>
          <t>[FINAL ANSWER]
To solve the equation \( 3x + 12 = 30 \) for \( x \), follow these steps:
1. **Subtract 12 from both sides** to isolate the term with \( x \):
   \[
   3x + 12 - 12 = 30 - 12
   \]
   Simplifying:
   \[
   3x = 18
   \]
2. **Divide both sides by 3** to solve for \( x \):
   \[
   \frac{3x}{3} = \frac{18}{3}
   \]
   Simplifying:
   \[
   x = 6
   \]
**Final Answer:**
\[
\boxed{6}
\]
[THINKING PROCESS (&lt;think&gt;)]
First, I need to solve the equation 3x + 12 = 30 for x.
I'll start by isolating the term with x. To do this, I'll subtract 12 from both sides of the equation.
This simplifies the equation to 3x = 18.
Next, I'll solve for x by dividing both sides by 3.
Finally, I find that x equals 6.</t>
        </is>
      </c>
      <c r="H3" s="10" t="n"/>
      <c r="I3" s="10" t="n"/>
      <c r="J3" s="10" t="n"/>
      <c r="K3" s="10" t="n"/>
      <c r="L3" s="10">
        <f>IF(COUNT(H3:K3)&gt;0, SUM(H3:K3), "")</f>
        <v/>
      </c>
      <c r="M3" s="10" t="inlineStr">
        <is>
          <t>2026-09-16 11:43:48</t>
        </is>
      </c>
      <c r="N3" s="10" t="n">
        <v>18.13</v>
      </c>
      <c r="O3" s="10" t="n">
        <v>10.423</v>
      </c>
      <c r="P3" s="10" t="n">
        <v>260</v>
      </c>
      <c r="Q3" s="10">
        <f>IF(AND(ISNUMBER(O3), O3&gt;0, ISNUMBER(P3)), ROUND(P3/O3, 2), IF(AND(ISNUMBER(N3), N3&gt;0, ISNUMBER(P3)), ROUND(P3/N3, 2), ""))</f>
        <v/>
      </c>
      <c r="R3" s="10" t="n">
        <v>4.53</v>
      </c>
      <c r="S3" s="10" t="inlineStr">
        <is>
          <t>Completed</t>
        </is>
      </c>
      <c r="T3" s="10" t="inlineStr">
        <is>
          <t>Pending</t>
        </is>
      </c>
      <c r="U3" s="9" t="inlineStr">
        <is>
          <t>data/responses/Q01_DSR1.json</t>
        </is>
      </c>
      <c r="V3" s="9" t="n"/>
    </row>
    <row r="4" ht="39.6" customHeight="1" s="18">
      <c r="A4" s="2" t="inlineStr">
        <is>
          <t>Q01_QWEN</t>
        </is>
      </c>
      <c r="B4" s="2" t="inlineStr">
        <is>
          <t>Q01</t>
        </is>
      </c>
      <c r="C4" s="3" t="inlineStr">
        <is>
          <t>qwen3:8b</t>
        </is>
      </c>
      <c r="D4" s="3" t="inlineStr">
        <is>
          <t>Mathematical reasoning</t>
        </is>
      </c>
      <c r="E4" s="2" t="inlineStr">
        <is>
          <t>Easy</t>
        </is>
      </c>
      <c r="F4" s="19" t="inlineStr">
        <is>
          <t>Solve for x: 3x + 12 = 30. Show each step of your calculation clearly and state the final numerical value of x.</t>
        </is>
      </c>
      <c r="G4" s="9" t="inlineStr">
        <is>
          <t>[FINAL ANSWER]
To solve the equation $ 3x + 12 = 30 $, we aim to isolate the variable $ x $ step by step.
---
### **Step 1: Subtract 12 from both sides**
We begin by eliminating the constant term on the left-hand side. To do this, subtract 12 from both sides of the equation:
$$
3x + 12 - 12 = 30 - 12
$$
Simplifying both sides:
$$
3x = 18
$$
---
### **Step 2: Divide both sides by 3**
Now, to isolate $ x $, divide both sides of the equation by 3:
$$
\frac{3x}{3} = \frac{18}{3}
$$
Simplifying:
$$
x = 6
$$
---
### **Final Answer**
$$
\boxed{6}
$$
[THINKING PROCESS (&lt;think&gt;)]
Okay, so I need to solve the equation 3x + 12 = 30 for x. Let me think about how to approach this. I remember that solving an equation like this usually involves isolating the variable, which in this case is x. 
First, I should get rid of that constant term on the left side, which is +12. To do that, I can subtract 12 from both sides of the equation. That way, I keep the equation balanced. Let me write that down:
3x + 12 - 12 = 30 - 12
Simplifying both sides, the +12 and -12 on the left side cancel each other out, leaving just 3x. On the right side, 30 minus 12 is 18. So now the equation is:
3x = 18
Alright, now I need to get x by itself. Since 3 is multiplied by x, I should divide both sides by 3 to undo that multiplication. Let me do that step:
3x / 3 = 18 / 3
Simplifying again, the 3's on the left side cancel out, leaving just x. On the right side, 18 divided by 3 is 6. So that gives me:
x = 6
Wait, let me check if that makes sense. If I plug x = 6 back into the original equation, does it hold true?
Original equation: 3x + 12 = 30
Substitute x with 6: 3*(6) + 12 = 18 + 12 = 30. Yep, that equals 30, which matches the right side of the equation. So it looks like x = 6 is the correct solution.
Hmm, did I miss any steps? Let me go through it again. Starting with 3x + 12 = 30. Subtract 12 from both sides: 3x = 18. Divide by 3: x = 6. Yep, that seems straightforward. I don't think I made any mistakes here. The key steps were subtracting 12 first and then dividing by 3. It's important to perform the same operation on both sides to maintain equality. 
Another way to think about it might be to first divide all terms by 3, but that might complicate things because of the +12. Let me try that approach just to verify. If I divide every term by 3:
(3x)/3 + 12/3 = 30/3
Which simplifies to x + 4 = 10. Then subtract 4 from both sides: x = 10 - 4 = 6. Oh, that works too! So whether I subtract first or divide first, I still end up with x = 6. That gives me more confidence that the answer is correct. 
So both methods lead to the same result. It's good to check using different methods to ensure consistency. I think that's all there is to it. The solution is x equals 6.</t>
        </is>
      </c>
      <c r="H4" s="10" t="n"/>
      <c r="I4" s="10" t="n"/>
      <c r="J4" s="10" t="n"/>
      <c r="K4" s="10" t="n"/>
      <c r="L4" s="10">
        <f>IF(COUNT(H4:K4)&gt;0, SUM(H4:K4), "")</f>
        <v/>
      </c>
      <c r="M4" s="10" t="inlineStr">
        <is>
          <t>2026-09-16 11:36:45</t>
        </is>
      </c>
      <c r="N4" s="10" t="n">
        <v>32.939</v>
      </c>
      <c r="O4" s="10" t="n">
        <v>28.401</v>
      </c>
      <c r="P4" s="10" t="n">
        <v>863</v>
      </c>
      <c r="Q4" s="10">
        <f>IF(AND(ISNUMBER(O4), O4&gt;0, ISNUMBER(P4)), ROUND(P4/O4, 2), IF(AND(ISNUMBER(N4), N4&gt;0, ISNUMBER(P4)), ROUND(P4/N4, 2), ""))</f>
        <v/>
      </c>
      <c r="R4" s="10" t="n">
        <v>5.35</v>
      </c>
      <c r="S4" s="10" t="inlineStr">
        <is>
          <t>Completed</t>
        </is>
      </c>
      <c r="T4" s="10" t="inlineStr">
        <is>
          <t>Pending</t>
        </is>
      </c>
      <c r="U4" s="9" t="inlineStr">
        <is>
          <t>data/responses/Q01_QWEN.json</t>
        </is>
      </c>
      <c r="V4" s="9" t="n"/>
    </row>
    <row r="5" ht="39.6" customHeight="1" s="18">
      <c r="A5" s="2" t="inlineStr">
        <is>
          <t>Q02_PHI</t>
        </is>
      </c>
      <c r="B5" s="2" t="inlineStr">
        <is>
          <t>Q02</t>
        </is>
      </c>
      <c r="C5" s="3" t="inlineStr">
        <is>
          <t>phi4-mini-reasoning</t>
        </is>
      </c>
      <c r="D5" s="3" t="inlineStr">
        <is>
          <t>Mathematical reasoning</t>
        </is>
      </c>
      <c r="E5" s="2" t="inlineStr">
        <is>
          <t>Easy</t>
        </is>
      </c>
      <c r="F5" s="19" t="inlineStr">
        <is>
          <t>A store offers a 20% discount on an item originally priced at $80. What is the final sale price? Show your work.</t>
        </is>
      </c>
      <c r="G5" s="9" t="inlineStr">
        <is>
          <t>[FINAL ANSWER]
The original price of the item is $80. A 20% discount means you save 20% of $80, which is calculated as:  
\[
80 \times 0.20 = 16
\]  
Subtracting this discount from the original price gives:  
\[
80 - 16 = 64
\]  
Alternatively, the final price is \(80\% \times 80\):  
\[
80 \times 0.80 = 64
\]  
**Final sale price:** \boxed{64}
[THINKING PROCESS (&lt;think&gt;)]
Okay, let's see. The problem is about calculating the final sale price of an item after a 20% discount. The original price is $80. Hmm, right. So, first, I need to figure out what 20% of $80 is, and then subtract that from the original price to get the sale price.
Wait, percentage discounts... Yeah, so 20% off means you pay 80% of the original price, right? Or do you calculate the discount amount first and then subtract? Maybe both ways work. Let me think. Either way, the result should be the same. Let me try both methods to check.
Method 1: Calculate the discount amount and subtract it from the original price. So, 20% of $80 is the discount. To find 20% of 80, I can convert 20% to a decimal, which is 0.20. Then multiply 80 by 0.20. Let me do that: 80 * 0.20. Hmm, 80 times 0.2 is 16. So the discount is $16. Then subtract that from $80: 80 - 16 = 64. So the sale price is $64.
Method 2: If the discount is 20%, then the customer pays 80% of the original price. So, 80% of 80. Converting 80% to decimal is 0.80. Multiply 80 by 0.80: 80 * 0.80. Well, 80 times 0.8 is also 64. Same result. Okay, that checks out.
Wait, just to make sure I didn't make a calculation mistake. Let me verify the multiplication again. 80 times 0.2: 0.2 is the same as 1/5. So 80 divided by 5 is 16. Yep, that's right. Then 80 minus 16 is 64. Correct. Alternatively, 0.8 times 80: 80 times 0.8. 8 times 8 is 64, so 80 times 0.8 is 64. Yep, that's consistent.
So both methods lead to the same answer, $64. That seems right. I don't think I missed anything here. The problem is straightforward—a 20% discount on an $80 item. No additional taxes or fees mentioned, so the final sale price should be $64.</t>
        </is>
      </c>
      <c r="H5" s="10" t="n"/>
      <c r="I5" s="10" t="n"/>
      <c r="J5" s="10" t="n"/>
      <c r="K5" s="10" t="n"/>
      <c r="L5" s="10">
        <f>IF(COUNT(H5:K5)&gt;0, SUM(H5:K5), "")</f>
        <v/>
      </c>
      <c r="M5" s="10" t="inlineStr">
        <is>
          <t>2026-09-16 11:49:55</t>
        </is>
      </c>
      <c r="N5" s="10" t="n">
        <v>23.682</v>
      </c>
      <c r="O5" s="10" t="n">
        <v>17.302</v>
      </c>
      <c r="P5" s="10" t="n">
        <v>627</v>
      </c>
      <c r="Q5" s="10">
        <f>IF(AND(ISNUMBER(O5), O5&gt;0, ISNUMBER(P5)), ROUND(P5/O5, 2), IF(AND(ISNUMBER(N5), N5&gt;0, ISNUMBER(P5)), ROUND(P5/N5, 2), ""))</f>
        <v/>
      </c>
      <c r="R5" s="10" t="n">
        <v>3.64</v>
      </c>
      <c r="S5" s="10" t="inlineStr">
        <is>
          <t>Completed</t>
        </is>
      </c>
      <c r="T5" s="10" t="inlineStr">
        <is>
          <t>Pending</t>
        </is>
      </c>
      <c r="U5" s="9" t="inlineStr">
        <is>
          <t>data/responses/Q02_PHI.json</t>
        </is>
      </c>
      <c r="V5" s="9" t="n"/>
    </row>
    <row r="6" ht="39.6" customHeight="1" s="18">
      <c r="A6" s="2" t="inlineStr">
        <is>
          <t>Q02_DSR1</t>
        </is>
      </c>
      <c r="B6" s="2" t="inlineStr">
        <is>
          <t>Q02</t>
        </is>
      </c>
      <c r="C6" s="3" t="inlineStr">
        <is>
          <t>deepseek-r1:7b</t>
        </is>
      </c>
      <c r="D6" s="3" t="inlineStr">
        <is>
          <t>Mathematical reasoning</t>
        </is>
      </c>
      <c r="E6" s="2" t="inlineStr">
        <is>
          <t>Easy</t>
        </is>
      </c>
      <c r="F6" s="19" t="inlineStr">
        <is>
          <t>A store offers a 20% discount on an item originally priced at $80. What is the final sale price? Show your work.</t>
        </is>
      </c>
      <c r="G6" s="9" t="inlineStr">
        <is>
          <t>[FINAL ANSWER]
To determine the final sale price after applying a 20% discount to an item originally priced at \$80, follow these steps:
1. **Calculate the Discount Amount:**
   \[
   \text{Discount} = \text{Original Price} \times \text{Discount Rate} = 80 \times 0.20 = 16
   \]
2. **Subtract the Discount from the Original Price:**
   \[
   \text{Final Sale Price} = \text{Original Price} - \text{Discount} = 80 - 16 = 64
   \]
**Final Answer:**
\[
\boxed{64}
\]
[THINKING PROCESS (&lt;think&gt;)]
First, I need to calculate the discount amount by finding 20% of the original price of $80.
Next, I'll subtract the discount from the original price to determine the final sale price.</t>
        </is>
      </c>
      <c r="H6" s="10" t="n"/>
      <c r="I6" s="10" t="n"/>
      <c r="J6" s="10" t="n"/>
      <c r="K6" s="10" t="n"/>
      <c r="L6" s="10">
        <f>IF(COUNT(H6:K6)&gt;0, SUM(H6:K6), "")</f>
        <v/>
      </c>
      <c r="M6" s="10" t="inlineStr">
        <is>
          <t>2026-09-16 11:44:32</t>
        </is>
      </c>
      <c r="N6" s="10" t="n">
        <v>15.942</v>
      </c>
      <c r="O6" s="10" t="n">
        <v>8.493</v>
      </c>
      <c r="P6" s="10" t="n">
        <v>197</v>
      </c>
      <c r="Q6" s="10">
        <f>IF(AND(ISNUMBER(O6), O6&gt;0, ISNUMBER(P6)), ROUND(P6/O6, 2), IF(AND(ISNUMBER(N6), N6&gt;0, ISNUMBER(P6)), ROUND(P6/N6, 2), ""))</f>
        <v/>
      </c>
      <c r="R6" s="10" t="n">
        <v>4.53</v>
      </c>
      <c r="S6" s="10" t="inlineStr">
        <is>
          <t>Completed</t>
        </is>
      </c>
      <c r="T6" s="10" t="inlineStr">
        <is>
          <t>Pending</t>
        </is>
      </c>
      <c r="U6" s="9" t="inlineStr">
        <is>
          <t>data/responses/Q02_DSR1.json</t>
        </is>
      </c>
      <c r="V6" s="9" t="n"/>
    </row>
    <row r="7" ht="39.6" customHeight="1" s="18">
      <c r="A7" s="2" t="inlineStr">
        <is>
          <t>Q02_QWEN</t>
        </is>
      </c>
      <c r="B7" s="2" t="inlineStr">
        <is>
          <t>Q02</t>
        </is>
      </c>
      <c r="C7" s="3" t="inlineStr">
        <is>
          <t>qwen3:8b</t>
        </is>
      </c>
      <c r="D7" s="3" t="inlineStr">
        <is>
          <t>Mathematical reasoning</t>
        </is>
      </c>
      <c r="E7" s="2" t="inlineStr">
        <is>
          <t>Easy</t>
        </is>
      </c>
      <c r="F7" s="19" t="inlineStr">
        <is>
          <t>A store offers a 20% discount on an item originally priced at $80. What is the final sale price? Show your work.</t>
        </is>
      </c>
      <c r="G7" s="9" t="inlineStr">
        <is>
          <t>&lt;think&gt;
Okay, let's see. The problem is about finding the final sale price of an item after a 20% discount. The original price is $80. Hmm, discounts can sometimes be tricky, but I think I can figure this out step by step.
First, I need to remember how discounts work. A 20% discount means that the customer pays 80% of the original price, right? Because if you take away 20%, you're left with 100% - 20% = 80%. So instead of calculating the discount amount and subtracting it from the original price, maybe I can just calculate 80% of $80. Let me confirm that.
Alternatively, I could calculate the discount amount first. Let me try both methods to check if they give the same result. That way, I can be sure I'm not making a mistake.
Starting with the first method: calculating 80% of $80. To find 80% of something, I can convert the percentage to a decimal by dividing by 100. So 80% becomes 0.80. Then multiply that by the original price.
So, 0.80 * $80. Let me do that multiplication. 0.8 times 80. Hmm, 0.8 is the same as 4/5, right? So 4/5 of 80. Well, 80 divided by 5 is 16, and 16 times 4 is 64. So that would be $64. Let me check with decimal multiplication.
Alternatively, 80 * 0.8. Breaking it down: 80 * 0.8 is the same as 80 * 8 * 0.1. 80 * 8 is 640, and 640 * 0.1 is 64. Yep, same result. So that seems straightforward.
Now, let me try the other method: calculating the discount amount first. A 20% discount on $80. So 20% of $80 is 0.20 * 80. Let me compute that. 0.2 times 80 is 16. So the discount is $16. Then subtract that from the original price: $80 - $16 = $64. Same answer. Okay, that's reassuring.
Wait, just to make sure I didn't mix up any numbers. Let me verify once again. Original price is $80. 20% off. So 20% of 80 is indeed 16. Subtract 16 from 80, which gives 64. Alternatively, 80% of 80 is 64. Both methods lead to the same result. So the final sale price should be $64.
Is there another way to think about this? Maybe using fractions? Let's see. 20% is 1/5. So 1/5 of 80 is 16, as before. Therefore, subtracting 1/5 from the original price, which is 80 - 16 = 64. Yep, same thing.
Alternatively, if I wanted to use proportions. Let me try that. If 20% corresponds to $16, then 100% corresponds to $80. Wait, that's the original price. Maybe that's not helpful. Alternatively, setting up a proportion where the discount is 20% of the original price. So, discount amount / original price = 20% / 100%. Therefore, discount amount = (20/100)*80 = 16. Again, same result.
I think all methods are converging to $64. Let me just check if there's any chance I made a calculation error. For example, if I thought 20% was 0.2, which it is, and 0.2 times 80 is 16. Yes. Then 80 minus 16 is 64. Alternatively, if I thought 20% was 0.2, and multiplied by 80, getting 16. So, no, that seems correct.
Another way to think about percentages: 10% of 80 is 8, so 20% is double that, which is 16. Therefore, subtracting 16 from 80 gives 64. Yep, that works too.
I think I've verified this multiple times using different methods: decimal multiplication, fraction conversion, proportion, and breaking down percentages into smaller parts. All of them lead to the same answer. Therefore, I can be confident that the final sale price after
&lt;/think&gt;</t>
        </is>
      </c>
      <c r="H7" s="10" t="n"/>
      <c r="I7" s="10" t="n"/>
      <c r="J7" s="10" t="n"/>
      <c r="K7" s="10" t="n"/>
      <c r="L7" s="10">
        <f>IF(COUNT(H7:K7)&gt;0, SUM(H7:K7), "")</f>
        <v/>
      </c>
      <c r="M7" s="10" t="inlineStr">
        <is>
          <t>2026-09-16 11:39:17</t>
        </is>
      </c>
      <c r="N7" s="10" t="n">
        <v>41.907</v>
      </c>
      <c r="O7" s="10" t="n">
        <v>33.498</v>
      </c>
      <c r="P7" s="10" t="n">
        <v>1024</v>
      </c>
      <c r="Q7" s="10">
        <f>IF(AND(ISNUMBER(O7), O7&gt;0, ISNUMBER(P7)), ROUND(P7/O7, 2), IF(AND(ISNUMBER(N7), N7&gt;0, ISNUMBER(P7)), ROUND(P7/N7, 2), ""))</f>
        <v/>
      </c>
      <c r="R7" s="10" t="n">
        <v>5.35</v>
      </c>
      <c r="S7" s="10" t="inlineStr">
        <is>
          <t>Completed</t>
        </is>
      </c>
      <c r="T7" s="10" t="inlineStr">
        <is>
          <t>Pending</t>
        </is>
      </c>
      <c r="U7" s="9" t="inlineStr">
        <is>
          <t>data/responses/Q02_QWEN.json</t>
        </is>
      </c>
      <c r="V7" s="9" t="inlineStr">
        <is>
          <t>Reached max tokens limit (num_predict=1024)</t>
        </is>
      </c>
    </row>
    <row r="8" ht="39.6" customHeight="1" s="18">
      <c r="A8" s="2" t="inlineStr">
        <is>
          <t>Q03_PHI</t>
        </is>
      </c>
      <c r="B8" s="2" t="inlineStr">
        <is>
          <t>Q03</t>
        </is>
      </c>
      <c r="C8" s="3" t="inlineStr">
        <is>
          <t>phi4-mini-reasoning</t>
        </is>
      </c>
      <c r="D8" s="3" t="inlineStr">
        <is>
          <t>Mathematical reasoning</t>
        </is>
      </c>
      <c r="E8" s="2" t="inlineStr">
        <is>
          <t>Medium</t>
        </is>
      </c>
      <c r="F8" s="19" t="inlineStr">
        <is>
          <t>Calculate the total number of trailing zeroes in 100! (100 factorial). Explain the mathematical reasoning behind your method.</t>
        </is>
      </c>
      <c r="G8" s="9" t="inlineStr">
        <is>
          <t>[FINAL ANSWER]
To calculate the total number of trailing zeroes in \(100!\) (100 factorial), we need to determine the number of times 10 is a factor in the factorial. Since 10 is the product of 2 and 5,
[THINKING PROCESS (&lt;think&gt;)]
Okay, so I need to figure out how many trailing zeros are in 100 factorial. Hmm, trailing zeros are the zeros at the end of the number right? Like, if the number ends with ...00, how many of those zeros are there? For example, 100 has two trailing zeros, right? But 100 factorial is a huge number. How do I even begin to calculate that?
Wait, I remember something about factors contributing to trailing zeros. Since trailing zeros come from multiplying numbers that result in 10s, and 10 is 2 times 5. So each pair of 2 and 5 in the prime factors of 100! would contribute to a trailing zero. But there are usually more 2s than 5s in a factorial, so the number of trailing zeros should be determined by the number of 5s. Is that right?
Let me check. For example, in 10!, the number of 5s would be 10/5 = 2, and the number of 2s would be 10/2 = 5, 10/4 = 5, 10/8 = 5, 10/6 = 1, etc. Wait, actually, the formula for counting the number of times a prime number p divides into n! is the sum of n divided by p, n divided by p squared, n divided by p cubed, and so on, until the division results in zero. So for 2s in 10!: 10/2 = 5, 10/4 = 2, 10/6 = 1, 10/8 = 1, 10/10 = 1. Adding those up: 5 + 2 + 1 + 0.5? Wait, no, it has to be integer division. So each time you divide n by p^k and take the floor. So for 10/2 = 5, 10/4 = 2 (since 10 divided by 4 is 2.5, floor to 2), 10/8 = 1, 10/16 = 0. So total 5 + 2 + 1 = 8. For 5s: 10/5 = 2, 10/25 = 0. So total 2. So trailing zeros would be 2. But 10! is 3628800, which has 2 trailing zeros. So that works. So the number of trailing zeros is the minimum of the number of 2s and 5s. Since 5s are less, we take the number of 5s.
Therefore, for 100!, the number of trailing zeros is the number of times 5 is a factor in 100!.
So how do we calculate the number of 5s in 100!?
Using the formula: sum_{k=1 to infinity} floor(100 / 5^k)
Compute each term:
First term: floor(100 / 5) = floor(20) = 20
Second term: floor(100 / 25) = floor(4) = 4
Third term: floor(100 / 125) = floor(0.8) = 0
So higher powers will also result in zero. So total number of 5s is 20 + 4 = 24.
Similarly, number of 2s would be more, but as we only need the minimum, which is 24.
Therefore, the total number of trailing zeros in 100! is 24.
Wait, let me verify this with a smaller factorial where I know the answer. Let's take 25!.
Number of 5s: floor(25/5) = 5, floor(25/25) = 1, floor(25/125)=0. So total 6.
Number of 2s: floor(25/2)=12, floor(25/4)=6, floor(25/8)=3, floor(25/16)=1, rest zero. Total 12+6+3+1=22.
So trailing zeros should be 6. Let's check 25! value. 25! is 15511210043330985984000000. Wait, how many zeros is that? Let me count from the end: ...84000000. So starting from the end, 6 zeros. Yes, that's correct. So the method works.
Therefore, applying the same logic to 100! gives 24 trailing zeros. So the answer should be 24.
**Final Answer**
The total number of trailing zeroes in 100! is \boxed{24}.</t>
        </is>
      </c>
      <c r="H8" s="10" t="n"/>
      <c r="I8" s="10" t="n"/>
      <c r="J8" s="10" t="n"/>
      <c r="K8" s="10" t="n"/>
      <c r="L8" s="10">
        <f>IF(COUNT(H8:K8)&gt;0, SUM(H8:K8), "")</f>
        <v/>
      </c>
      <c r="M8" s="10" t="inlineStr">
        <is>
          <t>2026-09-16 11:50:51</t>
        </is>
      </c>
      <c r="N8" s="10" t="n">
        <v>30.957</v>
      </c>
      <c r="O8" s="10" t="n">
        <v>26.738</v>
      </c>
      <c r="P8" s="10" t="n">
        <v>1024</v>
      </c>
      <c r="Q8" s="10">
        <f>IF(AND(ISNUMBER(O8), O8&gt;0, ISNUMBER(P8)), ROUND(P8/O8, 2), IF(AND(ISNUMBER(N8), N8&gt;0, ISNUMBER(P8)), ROUND(P8/N8, 2), ""))</f>
        <v/>
      </c>
      <c r="R8" s="10" t="n">
        <v>3.64</v>
      </c>
      <c r="S8" s="10" t="inlineStr">
        <is>
          <t>Completed</t>
        </is>
      </c>
      <c r="T8" s="10" t="inlineStr">
        <is>
          <t>Pending</t>
        </is>
      </c>
      <c r="U8" s="9" t="inlineStr">
        <is>
          <t>data/responses/Q03_PHI.json</t>
        </is>
      </c>
      <c r="V8" s="9" t="inlineStr">
        <is>
          <t>Reached max tokens limit (num_predict=1024)</t>
        </is>
      </c>
    </row>
    <row r="9" ht="39.6" customHeight="1" s="18">
      <c r="A9" s="2" t="inlineStr">
        <is>
          <t>Q03_DSR1</t>
        </is>
      </c>
      <c r="B9" s="2" t="inlineStr">
        <is>
          <t>Q03</t>
        </is>
      </c>
      <c r="C9" s="3" t="inlineStr">
        <is>
          <t>deepseek-r1:7b</t>
        </is>
      </c>
      <c r="D9" s="3" t="inlineStr">
        <is>
          <t>Mathematical reasoning</t>
        </is>
      </c>
      <c r="E9" s="2" t="inlineStr">
        <is>
          <t>Medium</t>
        </is>
      </c>
      <c r="F9" s="19" t="inlineStr">
        <is>
          <t>Calculate the total number of trailing zeroes in 100! (100 factorial). Explain the mathematical reasoning behind your method.</t>
        </is>
      </c>
      <c r="G9" s="9" t="inlineStr">
        <is>
          <t>&lt;think&gt;
Okay, so I need to figure out how many trailing zeros are in 100 factorial, which is written as 100!. Hmm, I remember that trailing zeros are the zeros at the end of a number, right? Like, for example, 100! is a huge number, and it ends with several zeros. But how do I calculate exactly how many?
I think it has something to do with how many times the number 10 is a factor in 100!. Because every time 10 is a factor, it adds a zero at the end. So, if I can find how many times 10 is a factor in 100!, that should give me the number of trailing zeros. But wait, 10 is 2 multiplied by 5, so maybe I need to find how many pairs of 2s and 5s are in the prime factors of 100!.
But hold on, in any factorial, there are usually more 2s than 5s. So, the number of 5s will determine the number of trailing zeros. That makes sense because 2s are more common. So, I just need to count how many times 5 is a factor in the numbers from 1 to 100.
How do I do that? I think it's by dividing 100 by 5 and then taking the floor of that result. Let me try that. 100 divided by 5 is 20. So, does that mean there are 20 trailing zeros? Wait, no, that can't be right because I remember that sometimes numbers like 25, 50, 75, and 100 contribute more than one 5. So, I need to account for those as well.
Right, because 25 is 5 squared, so it contributes two 5s, and similarly, 50 is 5 times 10, which is 5 times 2 times 5, so that's two 5s as well. So, I need to not only divide by 5 but also divide by 25 to account for those extra 5s.
So, let me calculate that. 100 divided by 5 is 20, and 100 divided by 25 is 4. So, adding those together, 20 plus 4 is 24. Hmm, so does that mean there are 24 trailing zeros? But wait, is that all? What about higher powers of 5, like 125? But 125 is greater than 100, so it won't contribute anything. So, I think 24 is the correct number.
Let me verify this. So, in 100!, the number of 5s is the sum of 100 divided by 5, 100 divided by 25, 100 divided by 125, and so on. Since 125 is larger than 100, we can stop at 25. So, 100/5 is 20, 100/25 is 4, and 100/125 is 0. So, adding 20 and 4 gives 24. Therefore, there are 24 trailing zeros in 100!.
But just to make sure I didn't make a mistake, let me think about a smaller factorial, like 25!. How many trailing zeros does that have? Using the same method, 25 divided by 5 is 5, and 25 divided by 25 is 1. So, 5 plus 1 is 6 trailing zeros. Let me check that. 25! is 15511210043330985984000000. Wait, actually, I think 25! has 6 trailing zeros. Yeah, that seems right. So, my method works for 25!.
Another example: 50!. 50 divided by 5 is 10, 50 divided by 25 is 2, and 50 divided by 125 is 0. So, 10 plus 2 is 12 trailing zeros. Let me see, 50! is a huge number, but I think it does end with 12 zeros. So, that seems correct.
Therefore, applying the same logic to 100!, it should have 24 trailing zeros. So, I think I can confidently say that the number of trailing zeros in 100! is 24.
**Final Answer**
The total number of trailing zeroes in 100! is \
&lt;/think&gt;</t>
        </is>
      </c>
      <c r="H9" s="10" t="n"/>
      <c r="I9" s="10" t="n"/>
      <c r="J9" s="10" t="n"/>
      <c r="K9" s="10" t="n"/>
      <c r="L9" s="10">
        <f>IF(COUNT(H9:K9)&gt;0, SUM(H9:K9), "")</f>
        <v/>
      </c>
      <c r="M9" s="10" t="inlineStr">
        <is>
          <t>2026-09-16 11:45:34</t>
        </is>
      </c>
      <c r="N9" s="10" t="n">
        <v>36.115</v>
      </c>
      <c r="O9" s="10" t="n">
        <v>31.943</v>
      </c>
      <c r="P9" s="10" t="n">
        <v>1024</v>
      </c>
      <c r="Q9" s="10">
        <f>IF(AND(ISNUMBER(O9), O9&gt;0, ISNUMBER(P9)), ROUND(P9/O9, 2), IF(AND(ISNUMBER(N9), N9&gt;0, ISNUMBER(P9)), ROUND(P9/N9, 2), ""))</f>
        <v/>
      </c>
      <c r="R9" s="10" t="n">
        <v>4.53</v>
      </c>
      <c r="S9" s="10" t="inlineStr">
        <is>
          <t>Completed</t>
        </is>
      </c>
      <c r="T9" s="10" t="inlineStr">
        <is>
          <t>Pending</t>
        </is>
      </c>
      <c r="U9" s="9" t="inlineStr">
        <is>
          <t>data/responses/Q03_DSR1.json</t>
        </is>
      </c>
      <c r="V9" s="9" t="inlineStr">
        <is>
          <t>Reached max tokens limit (num_predict=1024)</t>
        </is>
      </c>
    </row>
    <row r="10" ht="39.6" customHeight="1" s="18">
      <c r="A10" s="2" t="inlineStr">
        <is>
          <t>Q03_QWEN</t>
        </is>
      </c>
      <c r="B10" s="2" t="inlineStr">
        <is>
          <t>Q03</t>
        </is>
      </c>
      <c r="C10" s="3" t="inlineStr">
        <is>
          <t>qwen3:8b</t>
        </is>
      </c>
      <c r="D10" s="3" t="inlineStr">
        <is>
          <t>Mathematical reasoning</t>
        </is>
      </c>
      <c r="E10" s="2" t="inlineStr">
        <is>
          <t>Medium</t>
        </is>
      </c>
      <c r="F10" s="19" t="inlineStr">
        <is>
          <t>Calculate the total number of trailing zeroes in 100! (100 factorial). Explain the mathematical reasoning behind your method.</t>
        </is>
      </c>
      <c r="G10" s="9" t="inlineStr">
        <is>
          <t>&lt;think&gt;
Okay, so I need to figure out how many trailing zeros are in 100 factorial, which is 100! Let me think about how to approach this. I remember that trailing zeros are created when a number is multiplied by 10, right? And since 10 is 2 times 5, each pair of 2 and 5 in the prime factors of 100! will contribute to a trailing zero. 
But wait, there are usually more 2s than 5s in the prime factors of a factorial. So the number of trailing zeros should depend on the number of 5s, because 5s are the limiting factor here. That makes sense because every even number contributes at least one 2, so there will be plenty of 2s to pair with the 5s. Therefore, I just need to count how many times 5 is a factor in the numbers from 1 to 100. 
But how exactly do I do that? Let me recall. I think the method involves dividing the number by 5, then by 25, 125, etc., until the division results in zero, and then adding up all those quotients. Let me try to remember why that works. 
So, for example, in 100!, the number of multiples of 5 between 1 and 100 is 100 divided by 5, which is 20. But some numbers contribute more than one 5. For instance, 25 is 5 squared, so it has two 5s. Similarly, 50, 75, and 100 are multiples of 25, each contributing an extra 5. Then there's 125, but 125 is greater than 100, so we stop there. 
Therefore, the total number of 5s is 20 (from the multiples of 5) plus 4 (from the multiples of 25) because 100 divided by 25 is 4. Wait, let me check that again. 
Let me write it down step by step. 
First, divide 100 by 5: 100 / 5 = 20. That counts all the multiples of 5. 
But numbers like 25, 50, 75, 100 are multiples of 25, and each of these has an additional 5. So we need to divide 100 by 25 to find how many numbers contribute an extra 5. 100 / 25 = 4. 
Then, numbers that are multiples of 125 would contribute yet another 5, but since 125 is 5 cubed, and 125 is greater than 100, there are no such numbers in 1 to 100. Therefore, we stop here. 
So adding those up: 20 + 4 = 24. Therefore, there are 24 trailing zeros in 100! 
Wait, let me verify this with another example to make sure I didn't make a mistake. Let's take a smaller factorial, like 25!. How many trailing zeros should it have? 
Using the same method: 25 / 5 = 5, 25 / 25 = 1, 25 / 125 = 0. So total is 5 + 1 = 6. Let me check 25! 
Well, 25! is 15511210043330985984000000. Let me count the trailing zeros. It ends with 6 zeros. Yes, that matches. So the method works here. 
Another example: 10! 
10 / 5 = 2, 10 / 25 = 0. Total is 2. And 10! is 3628800, which has two trailing zeros. Correct. 
So going back to 100! The calculation is 100 / 5 = 20, 100 / 25 = 4, 100 / 125 = 0. So total is 20 + 4 = 24. Therefore, 24 trailing zeros. 
But let me think again why this method works. Essentially, every multiple of 5 contributes at least one 5, but multiples of higher powers of 5 contribute more. So by dividing by 5, 25, 125, etc., we account for all the 5s in the factorial. Since 2s are more plentiful, we don't
&lt;/think&gt;</t>
        </is>
      </c>
      <c r="H10" s="10" t="n"/>
      <c r="I10" s="10" t="n"/>
      <c r="J10" s="10" t="n"/>
      <c r="K10" s="10" t="n"/>
      <c r="L10" s="10">
        <f>IF(COUNT(H10:K10)&gt;0, SUM(H10:K10), "")</f>
        <v/>
      </c>
      <c r="M10" s="10" t="inlineStr">
        <is>
          <t>2026-09-16 11:40:27</t>
        </is>
      </c>
      <c r="N10" s="10" t="n">
        <v>41.31</v>
      </c>
      <c r="O10" s="10" t="n">
        <v>33.245</v>
      </c>
      <c r="P10" s="10" t="n">
        <v>1024</v>
      </c>
      <c r="Q10" s="10">
        <f>IF(AND(ISNUMBER(O10), O10&gt;0, ISNUMBER(P10)), ROUND(P10/O10, 2), IF(AND(ISNUMBER(N10), N10&gt;0, ISNUMBER(P10)), ROUND(P10/N10, 2), ""))</f>
        <v/>
      </c>
      <c r="R10" s="10" t="n">
        <v>5.35</v>
      </c>
      <c r="S10" s="10" t="inlineStr">
        <is>
          <t>Completed</t>
        </is>
      </c>
      <c r="T10" s="10" t="inlineStr">
        <is>
          <t>Pending</t>
        </is>
      </c>
      <c r="U10" s="9" t="inlineStr">
        <is>
          <t>data/responses/Q03_QWEN.json</t>
        </is>
      </c>
      <c r="V10" s="9" t="inlineStr">
        <is>
          <t>Reached max tokens limit (num_predict=1024)</t>
        </is>
      </c>
    </row>
    <row r="11" ht="39.6" customHeight="1" s="18">
      <c r="A11" s="2" t="inlineStr">
        <is>
          <t>Q04_PHI</t>
        </is>
      </c>
      <c r="B11" s="2" t="inlineStr">
        <is>
          <t>Q04</t>
        </is>
      </c>
      <c r="C11" s="3" t="inlineStr">
        <is>
          <t>phi4-mini-reasoning</t>
        </is>
      </c>
      <c r="D11" s="3" t="inlineStr">
        <is>
          <t>Mathematical reasoning</t>
        </is>
      </c>
      <c r="E11" s="2" t="inlineStr">
        <is>
          <t>Medium</t>
        </is>
      </c>
      <c r="F11" s="19" t="inlineStr">
        <is>
          <t>Find the next two numbers in the sequence: 2, 6, 12, 20, 30, ... Explain the underlying rule governing the pattern.</t>
        </is>
      </c>
      <c r="G11" s="9" t="inlineStr">
        <is>
          <t>&lt;think&gt;
Okay, let's see. The sequence given is 2, 6, 12, 20, 30, ... and I need to find the next two numbers. Hmm, let me start by looking at the differences between the numbers. That usually helps in spotting a pattern.
So, starting with the first term: 2. The difference between 6 and 2 is 4. Then between 6 and 12, the difference is 6. Next, 12 to 20 is a difference of 8. Then 20 to 30, which is a difference of 10. Let me write down these differences:
6 - 2 = 4  
12 - 6 = 6  
20 - 12 = 8  
30 - 20 = 10  
So the differences between consecutive terms are 4, 6, 8, 10. Wait a minute, those differences themselves form a sequence. Let me check that sequence: 4, 6, 8, 10. That looks like it's increasing by 2 each time. So 4, then 4+2=6, then 6+2=8, then 8+2=10. If that pattern continues, the next difference should be 10 + 2 = 12, right? Then the difference after that would be 12 + 2 = 14.
Let me verify that. The last difference was 10, leading to 30. So adding 12 to 30 would give 42. Then adding 14 to 42 would give 56. So the next two numbers should be 42 and 56. But let me make sure I'm not missing something here. Sometimes sequences can have more complex rules, so I should check another way.
Alternatively, maybe the sequence is related to multiplying consecutive numbers. Let's see: 2 can be 1×2, 6 is 2×3, 12 is 3×4, 20 is 4×5, 30 is 5×6. Wait, that seems to fit. Let me check:
1×2 = 2  
2×3 = 6  
3×4 = 12  
4×5 = 20  
5×6 = 30  
So the next term would be 6×7 = 42, and then 7×8 = 56. That matches the earlier result from the differences. So both methods point to 42 and 56. That seems solid. But let me check another angle just to be thorough.
Another approach could be looking at the sequence in terms of primes or something else, but the numbers here are 2,6,12,20,30. Primes aren't really standing out here. 2 is prime, but 6 isn't, 12 isn't, etc. So probably not primes. How about factors? Each term is the product of two consecutive integers starting from 1×2. Yeah, that's the same as the earlier observation.
Alternatively, maybe each term is n(n+1), where n starts at 1. Let's see:
Term 1: 1×2 = 2  
Term 2: 2×3 = 6  
Term 3: 3×4 = 12  
Term 4: 4×5 = 20  
Term 5: 5×6 = 30  
So term 6 would be 6×7=42, term 7=7×8=56. Yep, same result.
Alternatively, maybe the sequence is related to adding numbers in some other way. Let's see, starting from 2, adding 4 gives 6, then adding 6 gives 12, adding 8 gives 20, adding 10 gives 30. So the added numbers are 4,6,8,10, which are even numbers starting from 4 increasing by 2 each time. So next addition is 12, then 14. So 30 +12=42, 42+14=56. Same answer.
Is there another possible pattern? Let's see. Let's check the ratios between terms. 6/2=3, 12/6=2, 20/12≈1.666, 30/20=1.5. That doesn't seem to form a clear pattern. So ratios are probably not the way here.
Alternatively, maybe the sequence is composite numbers with certain properties? But 2,6,12,20,30—those are all composite numbers, but that's too broad. The primes are 2, then composites. But the sequence includes 6, which is composite, 12, etc. But the primes are only the first term here. So probably not.
Alternatively, maybe the sequence is n² + something. Let's check:
Term 1: 1² +1=2  
Term 2: 2² +2=6  
Term 3: 3</t>
        </is>
      </c>
      <c r="H11" s="10" t="n"/>
      <c r="I11" s="10" t="n"/>
      <c r="J11" s="10" t="n"/>
      <c r="K11" s="10" t="n"/>
      <c r="L11" s="10">
        <f>IF(COUNT(H11:K11)&gt;0, SUM(H11:K11), "")</f>
        <v/>
      </c>
      <c r="M11" s="10" t="inlineStr">
        <is>
          <t>2026-09-16 11:52:11</t>
        </is>
      </c>
      <c r="N11" s="10" t="n">
        <v>31.045</v>
      </c>
      <c r="O11" s="10" t="n">
        <v>26.793</v>
      </c>
      <c r="P11" s="10" t="n">
        <v>1024</v>
      </c>
      <c r="Q11" s="10">
        <f>IF(AND(ISNUMBER(O11), O11&gt;0, ISNUMBER(P11)), ROUND(P11/O11, 2), IF(AND(ISNUMBER(N11), N11&gt;0, ISNUMBER(P11)), ROUND(P11/N11, 2), ""))</f>
        <v/>
      </c>
      <c r="R11" s="10" t="n">
        <v>3.64</v>
      </c>
      <c r="S11" s="10" t="inlineStr">
        <is>
          <t>Completed</t>
        </is>
      </c>
      <c r="T11" s="10" t="inlineStr">
        <is>
          <t>Pending</t>
        </is>
      </c>
      <c r="U11" s="9" t="inlineStr">
        <is>
          <t>data/responses/Q04_PHI.json</t>
        </is>
      </c>
      <c r="V11" s="9" t="inlineStr">
        <is>
          <t>Reached max tokens limit (num_predict=1024)</t>
        </is>
      </c>
    </row>
    <row r="12" ht="39.6" customHeight="1" s="18">
      <c r="A12" s="2" t="inlineStr">
        <is>
          <t>Q04_DSR1</t>
        </is>
      </c>
      <c r="B12" s="2" t="inlineStr">
        <is>
          <t>Q04</t>
        </is>
      </c>
      <c r="C12" s="3" t="inlineStr">
        <is>
          <t>deepseek-r1:7b</t>
        </is>
      </c>
      <c r="D12" s="3" t="inlineStr">
        <is>
          <t>Mathematical reasoning</t>
        </is>
      </c>
      <c r="E12" s="2" t="inlineStr">
        <is>
          <t>Medium</t>
        </is>
      </c>
      <c r="F12" s="19" t="inlineStr">
        <is>
          <t>Find the next two numbers in the sequence: 2, 6, 12, 20, 30, ... Explain the underlying rule governing the pattern.</t>
        </is>
      </c>
      <c r="G12" s="9" t="inlineStr">
        <is>
          <t>[FINAL ANSWER]
To determine the next two numbers in the sequence \(2, 6, 12, 20, 30, \ldots\), let's analyze the pattern governing the sequence.
### Step-by-Step Explanation:
1. **Identify the Pattern:**
   Let's list the given terms:
   \[
   2,\ 6,\ 12,\ 20,\ 30,\ \ldots
   \]
   To find the pattern, calculate the difference between consecutive terms:
   \[
   \begin{align*}
   6 - 2 &amp;= 4 \\
   12 - 6 &amp;= 6 \\
   20 - 12 &amp;= 8 \\
   30 - 20 &amp;= 10 \\
   \end{align*}
   \]
   The differences between consecutive terms are \(4, 6, 8, 10\), which increase by \(2\) each time.
2. **Determine the Next Differences:**
   Following the observed pattern, the next differences should be:
   \[
   10 + 2 = 12 \\
   12 + 2 = 14 \\
   \]
3. **Calculate the Next Terms:**
   Add these differences to the last term of the sequence:
   \[
   \begin{align*}
   30 + 12 &amp;= 42 \\
   42 + 14 &amp;= 56 \\
   \end{align*}
   \]
4. **Conclusion:**
   The next two numbers in the sequence are:
   \[
   \boxed{42,\ 56}
   \]
[THINKING PROCESS (&lt;think&gt;)]
To determine the next two numbers in the sequence 2, 6, 12, 20, 30, ..., I'll start by examining the differences between consecutive terms.
First, I'll calculate the differences between each pair of adjacent numbers:
6 - 2 = 4
12 - 6 = 6
20 - 12 = 8
30 - 20 = 10
I notice that these differences are increasing by 2 each time: 4, 6, 8, 10. This suggests that the next difference should be 12, and the one after that should be 14.
Now, to find the next two numbers in the sequence, I'll add these differences to the last known term:
30 + 12 = 42
42 + 14 = 56
Therefore, the next two numbers in the sequence are 42 and 56.</t>
        </is>
      </c>
      <c r="H12" s="10" t="n"/>
      <c r="I12" s="10" t="n"/>
      <c r="J12" s="10" t="n"/>
      <c r="K12" s="10" t="n"/>
      <c r="L12" s="10">
        <f>IF(COUNT(H12:K12)&gt;0, SUM(H12:K12), "")</f>
        <v/>
      </c>
      <c r="M12" s="10" t="inlineStr">
        <is>
          <t>2026-09-16 11:46:39</t>
        </is>
      </c>
      <c r="N12" s="10" t="n">
        <v>23.051</v>
      </c>
      <c r="O12" s="10" t="n">
        <v>18.898</v>
      </c>
      <c r="P12" s="10" t="n">
        <v>571</v>
      </c>
      <c r="Q12" s="10">
        <f>IF(AND(ISNUMBER(O12), O12&gt;0, ISNUMBER(P12)), ROUND(P12/O12, 2), IF(AND(ISNUMBER(N12), N12&gt;0, ISNUMBER(P12)), ROUND(P12/N12, 2), ""))</f>
        <v/>
      </c>
      <c r="R12" s="10" t="n">
        <v>4.53</v>
      </c>
      <c r="S12" s="10" t="inlineStr">
        <is>
          <t>Completed</t>
        </is>
      </c>
      <c r="T12" s="10" t="inlineStr">
        <is>
          <t>Pending</t>
        </is>
      </c>
      <c r="U12" s="9" t="inlineStr">
        <is>
          <t>data/responses/Q04_DSR1.json</t>
        </is>
      </c>
      <c r="V12" s="9" t="n"/>
    </row>
    <row r="13" ht="39.6" customHeight="1" s="18">
      <c r="A13" s="2" t="inlineStr">
        <is>
          <t>Q04_QWEN</t>
        </is>
      </c>
      <c r="B13" s="2" t="inlineStr">
        <is>
          <t>Q04</t>
        </is>
      </c>
      <c r="C13" s="3" t="inlineStr">
        <is>
          <t>qwen3:8b</t>
        </is>
      </c>
      <c r="D13" s="3" t="inlineStr">
        <is>
          <t>Mathematical reasoning</t>
        </is>
      </c>
      <c r="E13" s="2" t="inlineStr">
        <is>
          <t>Medium</t>
        </is>
      </c>
      <c r="F13" s="19" t="inlineStr">
        <is>
          <t>Find the next two numbers in the sequence: 2, 6, 12, 20, 30, ... Explain the underlying rule governing the pattern.</t>
        </is>
      </c>
      <c r="G13" s="9" t="inlineStr">
        <is>
          <t>&lt;think&gt;
Okay, let's see. I need to find the next two numbers in the sequence: 2, 6, 12, 20, 30, ... and explain the rule. Hmm, let me start by looking at the differences between the numbers. 
First, let me write down the terms with their positions to see if that helps. Let's say the first term is term 1, second term is term 2, etc.
Term 1: 2  
Term 2: 6  
Term 3: 12  
Term 4: 20  
Term 5: 30  
Term 6: ?  
Term 7: ?
Now, let me calculate the differences between consecutive terms. 
Term 2 - Term 1 = 6 - 2 = 4  
Term 3 - Term 2 = 12 - 6 = 6  
Term 4 - Term 3 = 20 - 12 = 8  
Term 5 - Term 4 = 30 - 20 = 10  
So the differences between the terms are 4, 6, 8, 10... That seems like an arithmetic sequence where each difference increases by 2. Let me check:
First difference: 4  
Second difference: 6 (which is 4 + 2)  
Third difference: 8 (which is 6 + 2)  
Fourth difference: 10 (which is 8 + 2)  
Yes, so the differences are increasing by 2 each time. If this pattern continues, the next difference should be 10 + 2 = 12. Therefore, Term 6 would be Term 5 + 12 = 30 + 12 = 42. Then the following difference would be 12 + 2 = 14, making Term 7 = 42 + 14 = 56. 
But let me verify if there's another way to look at this sequence. Sometimes sequences can be represented by formulas involving n, the term number. Let me check if there's a formula for the nth term.
Looking at the terms:
Term 1: 2  
Term 2: 6  
Term 3: 12  
Term 4: 20  
Term 5: 30  
Hmm, these numbers look familiar. Let me think... 2 is 1×2, 6 is 2×3, 12 is 3×4, 20 is 4×5, 30 is 5×6. Oh! So each term is n multiplied by (n + 1), where n starts at 1. Let me check:
For Term 1: 1×(1+1) = 1×2 = 2 ✔️  
Term 2: 2×(2+1) = 2×3 = 6 ✔️  
Term 3: 3×4 = 12 ✔️  
Term 4: 4×5 = 20 ✔️  
Term 5: 5×6 = 30 ✔️  
Yes! So the general formula for the nth term is n(n + 1). Therefore, Term 6 would be 6×7 = 42, and Term 7 is 7×8 = 56. That matches the earlier result from the differences. 
So both methods lead to the same conclusion. The sequence is generated by multiplying each term's position by one more than the position. Therefore, the next two numbers are 42 and 56. 
Let me just make sure there isn't another possible pattern. For example, sometimes sequences can involve factorials or other operations, but in this case, the multiplication pattern seems straightforward. Let me check if the differences could also be explained by another rule. The differences are 4, 6, 8, 10,... which is an arithmetic progression with first term 4 and common difference 2. So the difference between term n and term n-1 is 4 + 2(n-2). Wait, let me think. 
Actually, the first difference (between term 1 and term 2) is 4. If we consider the difference between term k and term k-1 as 2k + 2? Wait, maybe not. Let me think again. 
Alternatively, since the nth term is n(n+1), then the difference between term n and term n-1 is:
Term n - Term (n-1) = n(n + 1) - (n - 1)(n)  
= n² + n - [n(n - 1)]  
= n² + n - (n² - n)  
= n² + n - n² + n  
=
&lt;/think&gt;</t>
        </is>
      </c>
      <c r="H13" s="10" t="n"/>
      <c r="I13" s="10" t="n"/>
      <c r="J13" s="10" t="n"/>
      <c r="K13" s="10" t="n"/>
      <c r="L13" s="10">
        <f>IF(COUNT(H13:K13)&gt;0, SUM(H13:K13), "")</f>
        <v/>
      </c>
      <c r="M13" s="10" t="inlineStr">
        <is>
          <t>2026-09-16 11:41:41</t>
        </is>
      </c>
      <c r="N13" s="10" t="n">
        <v>37.544</v>
      </c>
      <c r="O13" s="10" t="n">
        <v>33.053</v>
      </c>
      <c r="P13" s="10" t="n">
        <v>1024</v>
      </c>
      <c r="Q13" s="10">
        <f>IF(AND(ISNUMBER(O13), O13&gt;0, ISNUMBER(P13)), ROUND(P13/O13, 2), IF(AND(ISNUMBER(N13), N13&gt;0, ISNUMBER(P13)), ROUND(P13/N13, 2), ""))</f>
        <v/>
      </c>
      <c r="R13" s="10" t="n">
        <v>5.35</v>
      </c>
      <c r="S13" s="10" t="inlineStr">
        <is>
          <t>Completed</t>
        </is>
      </c>
      <c r="T13" s="10" t="inlineStr">
        <is>
          <t>Pending</t>
        </is>
      </c>
      <c r="U13" s="9" t="inlineStr">
        <is>
          <t>data/responses/Q04_QWEN.json</t>
        </is>
      </c>
      <c r="V13" s="9" t="inlineStr">
        <is>
          <t>Reached max tokens limit (num_predict=1024)</t>
        </is>
      </c>
    </row>
    <row r="14" ht="39.6" customHeight="1" s="18">
      <c r="A14" s="2" t="inlineStr">
        <is>
          <t>Q05_PHI</t>
        </is>
      </c>
      <c r="B14" s="2" t="inlineStr">
        <is>
          <t>Q05</t>
        </is>
      </c>
      <c r="C14" s="3" t="inlineStr">
        <is>
          <t>phi4-mini-reasoning</t>
        </is>
      </c>
      <c r="D14" s="3" t="inlineStr">
        <is>
          <t>Mathematical reasoning</t>
        </is>
      </c>
      <c r="E14" s="2" t="inlineStr">
        <is>
          <t>Hard</t>
        </is>
      </c>
      <c r="F14" s="19" t="inlineStr">
        <is>
          <t>Three fair standard six-sided dice are rolled simultaneously. What is the exact probability that the sum of the numbers rolled is equal to 10? Express your answer as a simplified fraction and explain each step.</t>
        </is>
      </c>
      <c r="G14" s="9" t="inlineStr">
        <is>
          <t>&lt;think&gt;
Okay, so I need to find the probability that the sum of three six-sided dice is exactly 10. Let me think about how to approach this. 
First, I remember that when dealing with probabilities involving dice, it's often helpful to figure out the total number of possible outcomes and then the number of favorable outcomes. The probability would then be the ratio of favorable outcomes to total outcomes. 
Since there are three dice, each die has 6 possible outcomes. So the total number of possible outcomes should be 6 * 6 * 6. Let me calculate that: 6 * 6 is 36, and 36 * 6 is 216. So there are 216 possible outcomes when rolling three dice. That part seems straightforward.
Now, the tricky part is figuring out how many of those outcomes result in a sum of 10. To do this, I need to count all the ordered triples (a, b, c) where each of a, b, c is between 1 and 6 inclusive, and a + b + c = 10. 
I recall that this is a problem of finding the number of integer solutions to the equation a + b + c = 10 with each variable at least 1 and at most 6. Since each die must show at least 1, the minimum sum is 3 (1+1+1) and the maximum is 18 (6+6+6). So 10 is within that range. 
To solve the equation a + b + c = 10 with 1 ≤ a, b, c ≤ 6, I can use the stars and bars method. But wait, stars and bars usually applies when variables are non-negative integers. Since each die must be at least 1, I can make a substitution: let a' = a - 1, b' = b - 1, c' = c - 1. Then the equation becomes a' + b' + c' = 10 - 3 = 7, where a', b', c' are non-negative integers and each a' ≤ 5, b' ≤ 5, c' ≤ 5 (since the original variables can't exceed 6). 
So now the problem is transformed into finding the number of non-negative integer solutions to a' + b' + c' = 7 with each variable at most 5. The standard stars and bars formula without restrictions would give C(7 + 3 - 1, 3 - 1) = C(9, 2) = 36 solutions. But this includes solutions where one or more variables exceed 5. So we need to subtract those cases where a variable is greater than 5.
Let me recall the inclusion-exclusion principle here. The number of solutions where a' ≥ 6 (since the original variables can be at most 6, so a' = a - 1 ≤ 5). If a' ≥ 6, let’s set a'' = a' - 6. Then the equation becomes a'' + b' + c' = 7 - 6 = 1. The number of solutions here is C(1 + 3 - 1, 3 - 1) = C(3, 2) = 3. Similarly, the same applies if b' ≥ 6 or c' ≥ 6. So there are 3 * 3 = 9 such solutions where any one variable exceeds 5.
But wait, inclusion-exclusion also requires considering cases where two variables exceed 5. However, if two variables exceed 5, say a' ≥ 6 and b' ≥ 6, then setting a'' = a' - 6 and b'' = b' - 6, the equation becomes a'' + b'' + c' = 7 - 12 = -5. Since the right-hand side is negative, there are no solutions here. Similarly, any two variables exceeding 5 would lead to a negative total, which isn't possible. So there are no such cases to add back in. 
Therefore, the number of valid solutions is total solutions without restrictions (36) minus the solutions where any variable exceeds 5 (9), giving 36 - 9 = 27. 
But wait, hold on. Let me verify this. So the original equation after substitution is a' + b' + c' = 7, with each a', b', c' ≤ 5. The number of solutions is C(9, 2) - 3*C(3, 2). Wait, no, inclusion-exclusion formula is:
Number of solutions = total solutions - sum of solutions where each variable exceeds - sum of solutions where two variables exceed + ... 
But in this case, the number of solutions where a single variable exceeds 5 is 3 (as calculated earlier) for each variable, so 3 * 3 = 9. Since there are no</t>
        </is>
      </c>
      <c r="H14" s="10" t="n"/>
      <c r="I14" s="10" t="n"/>
      <c r="J14" s="10" t="n"/>
      <c r="K14" s="10" t="n"/>
      <c r="L14" s="10">
        <f>IF(COUNT(H14:K14)&gt;0, SUM(H14:K14), "")</f>
        <v/>
      </c>
      <c r="M14" s="10" t="inlineStr">
        <is>
          <t>2026-09-16 11:53:17</t>
        </is>
      </c>
      <c r="N14" s="10" t="n">
        <v>30.627</v>
      </c>
      <c r="O14" s="10" t="n">
        <v>26.364</v>
      </c>
      <c r="P14" s="10" t="n">
        <v>1024</v>
      </c>
      <c r="Q14" s="10">
        <f>IF(AND(ISNUMBER(O14), O14&gt;0, ISNUMBER(P14)), ROUND(P14/O14, 2), IF(AND(ISNUMBER(N14), N14&gt;0, ISNUMBER(P14)), ROUND(P14/N14, 2), ""))</f>
        <v/>
      </c>
      <c r="R14" s="10" t="n">
        <v>3.64</v>
      </c>
      <c r="S14" s="10" t="inlineStr">
        <is>
          <t>Completed</t>
        </is>
      </c>
      <c r="T14" s="10" t="inlineStr">
        <is>
          <t>Pending</t>
        </is>
      </c>
      <c r="U14" s="9" t="inlineStr">
        <is>
          <t>data/responses/Q05_PHI.json</t>
        </is>
      </c>
      <c r="V14" s="9" t="inlineStr">
        <is>
          <t>Reached max tokens limit (num_predict=1024)</t>
        </is>
      </c>
    </row>
    <row r="15" ht="39.6" customHeight="1" s="18">
      <c r="A15" s="2" t="inlineStr">
        <is>
          <t>Q05_DSR1</t>
        </is>
      </c>
      <c r="B15" s="2" t="inlineStr">
        <is>
          <t>Q05</t>
        </is>
      </c>
      <c r="C15" s="3" t="inlineStr">
        <is>
          <t>deepseek-r1:7b</t>
        </is>
      </c>
      <c r="D15" s="3" t="inlineStr">
        <is>
          <t>Mathematical reasoning</t>
        </is>
      </c>
      <c r="E15" s="2" t="inlineStr">
        <is>
          <t>Hard</t>
        </is>
      </c>
      <c r="F15" s="19" t="inlineStr">
        <is>
          <t>Three fair standard six-sided dice are rolled simultaneously. What is the exact probability that the sum of the numbers rolled is equal to 10? Express your answer as a simplified fraction and explain each step.</t>
        </is>
      </c>
      <c r="G15" s="9" t="inlineStr">
        <is>
          <t>&lt;think&gt;
Okay, so I have this problem where I need to find the probability that the sum of three fair six-sided dice is equal to 10. Hmm, let me think about how to approach this. I remember that when dealing with probabilities involving dice, it's often useful to figure out the number of favorable outcomes divided by the total number of possible outcomes. 
First, let me recall that each die has 6 faces, so when rolling three dice, the total number of possible outcomes is 6 multiplied by itself three times, which is 6^3. Let me calculate that: 6*6 is 36, and 36*6 is 216. So, there are 216 possible outcomes when rolling three dice. Got that down.
Now, the tricky part is figuring out how many of these outcomes result in a sum of 10. I think this is a combinatorics problem where I need to find the number of integer solutions to the equation a + b + c = 10, where each of a, b, and c is at least 1 and at most 6. Because each die can only show a number from 1 to 6, inclusive.
Wait, so each die must be at least 1, so maybe I can adjust the equation to account for that. If I let a' = a - 1, b' = b - 1, c' = c - 1, then each of a', b', c' is at least 0. Then the equation becomes (a' + 1) + (b' + 1) + (c' + 1) = 10, which simplifies to a' + b' + c' = 7. So now, I need to find the number of non-negative integer solutions to a' + b' + c' = 7, where each a', b', c' is at most 5, because the original a, b, c can be at most 6, so a' = a - 1 can be at most 5.
I remember that the formula for the number of non-negative integer solutions to x1 + x2 + ... + xn = k is C(k + n - 1, n - 1). So in this case, n is 3, k is 7, so the number of solutions without any restrictions would be C(7 + 3 - 1, 3 - 1) = C(9, 2). Let me compute that: 9 choose 2 is (9*8)/(2*1) = 36. So there are 36 solutions without considering the upper limit of 5 on each variable.
But wait, some of these solutions might have a' &gt; 5, which would mean a &gt; 6, which isn't allowed. So I need to subtract those cases where one or more of a', b', c' exceed 5.
This is where the inclusion-exclusion principle comes into play. First, I need to find the number of solutions where a' &gt;= 6. If a' &gt;= 6, let's set a'' = a' - 6, so a'' &gt;= 0. Then the equation becomes a'' + b' + c' = 7 - 6 = 1. The number of non-negative solutions to this is C(1 + 3 - 1, 3 - 1) = C(3, 2) = 3. Similarly, the same number applies for b' &gt;=6 and c' &gt;=6. So each variable exceeding 5 contributes 3 solutions.
But wait, can two variables exceed 5 at the same time? Let's check. If a' &gt;=6 and b' &gt;=6, then a'' = a' -6, b'' = b' -6, so the equation becomes a'' + b'' + c' = 7 - 12 = -5. That's not possible, so there are no solutions where two variables exceed 5. Therefore, we don't have to worry about overcounting in the inclusion-exclusion principle beyond subtracting the cases where one variable exceeds 5.
So, the total number of invalid solutions is 3 variables * 3 solutions each = 9. Therefore, the number of valid solutions is 36 - 9 = 27.
Wait, hold on. Let me verify that. So, the initial number of solutions is 36. Then, for each die, if it exceeds 5, we subtract 3. Since there are three dice, that's 3*3=9. So 36 - 9 = 27. That seems right.
But just to make sure, maybe I can list all the possible combinations that sum to 10 with three dice. Let me see.
Alternatively, maybe I can think of it as
&lt;/think&gt;</t>
        </is>
      </c>
      <c r="H15" s="10" t="n"/>
      <c r="I15" s="10" t="n"/>
      <c r="J15" s="10" t="n"/>
      <c r="K15" s="10" t="n"/>
      <c r="L15" s="10">
        <f>IF(COUNT(H15:K15)&gt;0, SUM(H15:K15), "")</f>
        <v/>
      </c>
      <c r="M15" s="10" t="inlineStr">
        <is>
          <t>2026-09-16 11:47:50</t>
        </is>
      </c>
      <c r="N15" s="10" t="n">
        <v>35.292</v>
      </c>
      <c r="O15" s="10" t="n">
        <v>31.119</v>
      </c>
      <c r="P15" s="10" t="n">
        <v>1024</v>
      </c>
      <c r="Q15" s="10">
        <f>IF(AND(ISNUMBER(O15), O15&gt;0, ISNUMBER(P15)), ROUND(P15/O15, 2), IF(AND(ISNUMBER(N15), N15&gt;0, ISNUMBER(P15)), ROUND(P15/N15, 2), ""))</f>
        <v/>
      </c>
      <c r="R15" s="10" t="n">
        <v>4.53</v>
      </c>
      <c r="S15" s="10" t="inlineStr">
        <is>
          <t>Completed</t>
        </is>
      </c>
      <c r="T15" s="10" t="inlineStr">
        <is>
          <t>Pending</t>
        </is>
      </c>
      <c r="U15" s="9" t="inlineStr">
        <is>
          <t>data/responses/Q05_DSR1.json</t>
        </is>
      </c>
      <c r="V15" s="9" t="inlineStr">
        <is>
          <t>Reached max tokens limit (num_predict=1024)</t>
        </is>
      </c>
    </row>
    <row r="16" ht="39.6" customHeight="1" s="18">
      <c r="A16" s="2" t="inlineStr">
        <is>
          <t>Q05_QWEN</t>
        </is>
      </c>
      <c r="B16" s="2" t="inlineStr">
        <is>
          <t>Q05</t>
        </is>
      </c>
      <c r="C16" s="3" t="inlineStr">
        <is>
          <t>qwen3:8b</t>
        </is>
      </c>
      <c r="D16" s="3" t="inlineStr">
        <is>
          <t>Mathematical reasoning</t>
        </is>
      </c>
      <c r="E16" s="2" t="inlineStr">
        <is>
          <t>Hard</t>
        </is>
      </c>
      <c r="F16" s="19" t="inlineStr">
        <is>
          <t>Three fair standard six-sided dice are rolled simultaneously. What is the exact probability that the sum of the numbers rolled is equal to 10? Express your answer as a simplified fraction and explain each step.</t>
        </is>
      </c>
      <c r="G16" s="9" t="inlineStr">
        <is>
          <t>&lt;think&gt;
Okay, so I need to find the probability that when rolling three standard six-sided dice, the sum is exactly 10. Let me think about how to approach this. 
First, I remember that when dealing with probabilities involving dice, it's often helpful to figure out the total number of possible outcomes and then determine how many of those outcomes result in the desired sum. Since each die has 6 sides, and we're rolling three dice, the total number of possible outcomes should be 6 multiplied by itself three times. Let me write that down:
Total outcomes = 6 × 6 × 6 = 216.
Okay, so there are 216 possible outcomes when rolling three dice. Now, I need to find how many of these outcomes result in a sum of 10. 
To do this, I think I need to find all the combinations of three numbers (each between 1 and 6) that add up to 10. Each number represents the result of one die. Let me denote the three numbers as a, b, and c, where each of them is an integer between 1 and 6 inclusive, and a + b + c = 10.
So, the problem reduces to finding the number of integer solutions to the equation a + b + c = 10 with 1 ≤ a, b, c ≤ 6. 
But how do I count these solutions? I remember something about stars and bars from combinatorics, but I also need to consider the upper limits on each variable (since each die can't exceed 6). Let me recall. 
The standard stars and bars formula for the number of positive integer solutions to a + b + c = n is C(n-1, 2), where C is the combination function. However, this doesn't account for the upper limits on each variable. Since each die can only go up to 6, we need to adjust for that. 
Alternatively, maybe I can use generating functions? Or perhaps it's easier to list all possible combinations? Wait, listing might be tedious, but since the numbers are small, maybe manageable. Let me try both approaches and see which works better.
First, let me try the stars and bars approach with inclusion-exclusion. 
The equation is a + b + c = 10, with 1 ≤ a, b, c ≤ 6. Let me first adjust the variables to make them non-negative integers. Let me set a' = a - 1, b' = b - 1, c' = c - 1. Then, the equation becomes:
a' + 1 + b' + 1 + c' + 1 = 10 ⇒ a' + b' + c' = 10 - 3 = 7.
Now, the problem is to find the number of non-negative integer solutions to a' + b' + c' = 7, where each a', b', c' ≤ 5 (since original variables a, b, c ≤ 6, so subtracting 1 gives ≤5). 
The standard number of solutions without considering the upper bounds is C(7 + 3 - 1, 3 - 1) = C(9, 2) = 36. But this counts solutions where some variables might exceed 5. So we need to subtract those cases where one or more variables are greater than 5.
Let me recall inclusion-exclusion principle here. 
First, compute the total number of solutions without restrictions: C(9, 2) = 36.
Now, subtract the number of solutions where at least one variable is ≥6. Let's compute that.
Let me define A as the set of solutions where a' ≥ 6, B where b' ≥ 6, and C where c' ≥ 6. We need to compute |A ∪ B ∪ C| and subtract it from the total.
By inclusion-exclusion:
|A ∪ B ∪ C| = |A| + |B| + |C| - |A ∩ B| - |A ∩ C| - |B ∩ C| + |A ∩ B ∩ C|.
First, compute |A|. If a' ≥ 6, let me set a'' = a' - 6 ≥ 0. Then the equation becomes a'' + 6 + b' + c' = 7 ⇒ a'' + b' + c' = 1. The number of non-negative solutions is C(1 + 3 - 1, 3 - 1) = C(3, 2) = 3. Similarly, |B| = |C| = 3. So total for |A| + |B| + |C| = 3*3 = 9.
Next, compute |A ∩ B|. This is the number of solutions where
&lt;/think&gt;</t>
        </is>
      </c>
      <c r="H16" s="10" t="n"/>
      <c r="I16" s="10" t="n"/>
      <c r="J16" s="10" t="n"/>
      <c r="K16" s="10" t="n"/>
      <c r="L16" s="10">
        <f>IF(COUNT(H16:K16)&gt;0, SUM(H16:K16), "")</f>
        <v/>
      </c>
      <c r="M16" s="10" t="inlineStr">
        <is>
          <t>2026-09-16 11:42:45</t>
        </is>
      </c>
      <c r="N16" s="10" t="n">
        <v>37.811</v>
      </c>
      <c r="O16" s="10" t="n">
        <v>33.269</v>
      </c>
      <c r="P16" s="10" t="n">
        <v>1024</v>
      </c>
      <c r="Q16" s="10">
        <f>IF(AND(ISNUMBER(O16), O16&gt;0, ISNUMBER(P16)), ROUND(P16/O16, 2), IF(AND(ISNUMBER(N16), N16&gt;0, ISNUMBER(P16)), ROUND(P16/N16, 2), ""))</f>
        <v/>
      </c>
      <c r="R16" s="10" t="n">
        <v>5.35</v>
      </c>
      <c r="S16" s="10" t="inlineStr">
        <is>
          <t>Completed</t>
        </is>
      </c>
      <c r="T16" s="10" t="inlineStr">
        <is>
          <t>Pending</t>
        </is>
      </c>
      <c r="U16" s="9" t="inlineStr">
        <is>
          <t>data/responses/Q05_QWEN.json</t>
        </is>
      </c>
      <c r="V16" s="9" t="inlineStr">
        <is>
          <t>Reached max tokens limit (num_predict=1024)</t>
        </is>
      </c>
    </row>
    <row r="17" ht="39.6" customHeight="1" s="18">
      <c r="A17" s="2" t="inlineStr">
        <is>
          <t>Q06_PHI</t>
        </is>
      </c>
      <c r="B17" s="2" t="inlineStr">
        <is>
          <t>Q06</t>
        </is>
      </c>
      <c r="C17" s="3" t="inlineStr">
        <is>
          <t>phi4-mini-reasoning</t>
        </is>
      </c>
      <c r="D17" s="3" t="inlineStr">
        <is>
          <t>Logical reasoning</t>
        </is>
      </c>
      <c r="E17" s="2" t="inlineStr">
        <is>
          <t>Easy</t>
        </is>
      </c>
      <c r="F17" s="19" t="inlineStr">
        <is>
          <t>A farmer has 17 sheep, and all but 9 die. How many live sheep does the farmer have left? State your answer and briefly explain the logic.</t>
        </is>
      </c>
      <c r="G17" s="9" t="inlineStr">
        <is>
          <t>[FINAL ANSWER]
The farmer originally has 17 sheep. The phrase "all but 9 die" means that **9 sheep survive**, and the remaining **17 - 9 = 8** die. 
**Answer:** \boxed{9}  
*Logic:* "All but 9 die" implies 9 sheep do not die (survive), so the farmer has 9 live sheep left.
[THINKING PROCESS (&lt;think&gt;)]
Okay, let's see. The problem says a farmer has 17 sheep, and all but 9 die. How many live sheep does the farmer have left? Hmm. So, the farmer starts with 17 sheep. Then "all but 9 die." Wait, "all but 9" die. So, does that mean that except for 9 sheep, all die? Or does it mean that all die except for 9? Let me parse this sentence again.
The phrase "all but 9 die" – "but" here is used to contrast. So, it's like saying "everyone except for 9 die," which would mean that 9 sheep do not die, and all the others die. So, if the farmer originally has 17 sheep, and all but 9 die, then 9 survive, and 17 minus 9 die. So, 17 - 9 = 8. Wait, no. Wait, if all but 9 die, then the number that die is total minus 9. So, 17 total sheep, all but 9 die, so 17 - 9 = 8 sheep die, and 9 survive. Therefore, the farmer has 9 live sheep left.
But wait, let me make sure. Sometimes these problems can be tricky with the wording. Let's break it down. "All but 9 die" – "all" refers to the entire group except for 9. So, out of the 17 sheep, "all" would mean every sheep, but there's an exception: 9 that don't die. So, 9 sheep survive, and the remaining (17 - 9 = 8) die. Therefore, the answer should be 9.
Alternatively, someone might misinterpret "all but 9 die" as "first, all die, but then 9 remain," but that doesn't make sense. The correct interpretation is that except for 9, all the sheep die. So, 8 die, 9 survive. So, the farmer has 9 live sheep left.
Another way to think about it: "all but X" means "completely except for X." So, if you have all but X of something, that means you have X left and the rest are excluded. For example, if I say "all but one of the cookies were eaten," that means one cookie remains.Even more clearly, if the problem had said "all but 9 died," then the number of living sheep would be 9. Because "all but 9" refers to the dying ones, so 9 live.
So, the key is understanding that "all but 9" die. So, the death toll is 17 - 9 = 8, and survivors are 9. Therefore, the answer is 9.</t>
        </is>
      </c>
      <c r="H17" s="10" t="n"/>
      <c r="I17" s="10" t="n"/>
      <c r="J17" s="10" t="n"/>
      <c r="K17" s="10" t="n"/>
      <c r="L17" s="10">
        <f>IF(COUNT(H17:K17)&gt;0, SUM(H17:K17), "")</f>
        <v/>
      </c>
      <c r="M17" s="10" t="inlineStr">
        <is>
          <t>2026-09-16 11:59:00</t>
        </is>
      </c>
      <c r="N17" s="10" t="n">
        <v>23.833</v>
      </c>
      <c r="O17" s="10" t="n">
        <v>16.919</v>
      </c>
      <c r="P17" s="10" t="n">
        <v>662</v>
      </c>
      <c r="Q17" s="10">
        <f>IF(AND(ISNUMBER(O17), O17&gt;0, ISNUMBER(P17)), ROUND(P17/O17, 2), IF(AND(ISNUMBER(N17), N17&gt;0, ISNUMBER(P17)), ROUND(P17/N17, 2), ""))</f>
        <v/>
      </c>
      <c r="R17" s="10" t="n">
        <v>3.64</v>
      </c>
      <c r="S17" s="10" t="inlineStr">
        <is>
          <t>Completed</t>
        </is>
      </c>
      <c r="T17" s="10" t="inlineStr">
        <is>
          <t>Pending</t>
        </is>
      </c>
      <c r="U17" s="9" t="inlineStr">
        <is>
          <t>data/responses/Q06_PHI.json</t>
        </is>
      </c>
      <c r="V17" s="9" t="n"/>
    </row>
    <row r="18" ht="39.6" customHeight="1" s="18">
      <c r="A18" s="2" t="inlineStr">
        <is>
          <t>Q06_DSR1</t>
        </is>
      </c>
      <c r="B18" s="2" t="inlineStr">
        <is>
          <t>Q06</t>
        </is>
      </c>
      <c r="C18" s="3" t="inlineStr">
        <is>
          <t>deepseek-r1:7b</t>
        </is>
      </c>
      <c r="D18" s="3" t="inlineStr">
        <is>
          <t>Logical reasoning</t>
        </is>
      </c>
      <c r="E18" s="2" t="inlineStr">
        <is>
          <t>Easy</t>
        </is>
      </c>
      <c r="F18" s="19" t="inlineStr">
        <is>
          <t>A farmer has 17 sheep, and all but 9 die. How many live sheep does the farmer have left? State your answer and briefly explain the logic.</t>
        </is>
      </c>
      <c r="G18" s="9" t="inlineStr">
        <is>
          <t>[FINAL ANSWER]
Sure, let's break down the problem step by step.
**Problem Statement:**
A farmer has 17 sheep, and all but 9 die. How many live sheep does the farmer have left?
**Solution:**
1. **Initial Number of Sheep:**
   - The farmer starts with **17 sheep**.
2. **Understanding "All but 9 Die":**
   - The phrase "all but 9" means that **all sheep except 9** die.
   - In other words, **9 sheep survive**.
3. **Calculating the Number of Live Sheep:**
   - Total sheep initially = 17
   - Sheep that die = 17 - 9 = 8
   - Sheep that survive = 9
**Final Answer:**
\[
\boxed{9}
\]
[THINKING PROCESS (&lt;think&gt;)]
First, the farmer starts with 17 sheep.
The phrase "all but 9 die" means that 9 sheep survive.
Therefore, the number of live sheep remaining is 9.</t>
        </is>
      </c>
      <c r="H18" s="10" t="n"/>
      <c r="I18" s="10" t="n"/>
      <c r="J18" s="10" t="n"/>
      <c r="K18" s="10" t="n"/>
      <c r="L18" s="10">
        <f>IF(COUNT(H18:K18)&gt;0, SUM(H18:K18), "")</f>
        <v/>
      </c>
      <c r="M18" s="10" t="inlineStr">
        <is>
          <t>2026-09-16 11:22:53</t>
        </is>
      </c>
      <c r="N18" s="10" t="n">
        <v>13.25</v>
      </c>
      <c r="O18" s="10" t="n">
        <v>9.038</v>
      </c>
      <c r="P18" s="10" t="n">
        <v>217</v>
      </c>
      <c r="Q18" s="10">
        <f>IF(AND(ISNUMBER(O18), O18&gt;0, ISNUMBER(P18)), ROUND(P18/O18, 2), IF(AND(ISNUMBER(N18), N18&gt;0, ISNUMBER(P18)), ROUND(P18/N18, 2), ""))</f>
        <v/>
      </c>
      <c r="R18" s="10" t="n">
        <v>4.53</v>
      </c>
      <c r="S18" s="10" t="inlineStr">
        <is>
          <t>Completed</t>
        </is>
      </c>
      <c r="T18" s="10" t="inlineStr">
        <is>
          <t>Pending</t>
        </is>
      </c>
      <c r="U18" s="9" t="inlineStr">
        <is>
          <t>data/responses/Q06_DSR1.json</t>
        </is>
      </c>
      <c r="V18" s="9" t="n"/>
    </row>
    <row r="19" ht="39.6" customHeight="1" s="18">
      <c r="A19" s="2" t="inlineStr">
        <is>
          <t>Q06_QWEN</t>
        </is>
      </c>
      <c r="B19" s="2" t="inlineStr">
        <is>
          <t>Q06</t>
        </is>
      </c>
      <c r="C19" s="3" t="inlineStr">
        <is>
          <t>qwen3:8b</t>
        </is>
      </c>
      <c r="D19" s="3" t="inlineStr">
        <is>
          <t>Logical reasoning</t>
        </is>
      </c>
      <c r="E19" s="2" t="inlineStr">
        <is>
          <t>Easy</t>
        </is>
      </c>
      <c r="F19" s="19" t="inlineStr">
        <is>
          <t>A farmer has 17 sheep, and all but 9 die. How many live sheep does the farmer have left? State your answer and briefly explain the logic.</t>
        </is>
      </c>
      <c r="G19" s="9" t="inlineStr">
        <is>
          <t>[FINAL ANSWER]
The farmer has **9 live sheep** left. 
**Explanation:**  
The phrase "all but 9 die" means that 9 sheep are exceptions to the action of dying. Therefore, out of the 17 sheep, 9 survive, and the remaining 8 die. The question specifically asks for the number of live sheep, which is the 9 that did not die. 
**Answer:** 9 live sheep.
[THINKING PROCESS (&lt;think&gt;)]
Okay, let's see. The problem says a farmer has 17 sheep, and all but 9 die. How many live sheep does the farmer have left?
Hmm, so first, I need to understand what "all but 9 die" means. The phrase "all but 9" usually means that 9 are exceptions. So if there are 17 sheep total, and all except 9 die, that would mean 9 survive. Wait, but the question is asking how many live sheep are left. So if all but 9 die, then 9 are alive. But let me make sure I'm interpreting this correctly.
Let me break it down. The farmer starts with 17 sheep. "All but 9 die" – so "all" refers to all the sheep, except for 9. So the number of sheep that die is total sheep minus the ones that don't die. So total sheep is 17. If all but 9 die, then the number that die is 17 - 9 = 8. Wait, that would mean 8 die and 9 are left? Wait, that seems conflicting. Let me think again.
Wait, maybe I'm mixing up the phrasing. If "all but 9 die," that means that 9 are not dying, so they are the ones that survive. Therefore, the number of live sheep would be 9. But then the total number of sheep is 17, so 17 - 9 = 8 died. So the answer would be 9? But let me check if that's correct.
Alternatively, sometimes people might misinterpret "all but 9" as meaning that 9 are left, so the answer is 9. But maybe there's a trick here. Let me think again. Suppose the farmer has 17 sheep. All but 9 die. So "all" refers to all the sheep, and "but 9" means that 9 are exceptions. Therefore, 9 are alive, and the rest (17 - 9 = 8) die. Therefore, the number of live sheep is 9. So the answer is 9.
But wait, maybe there's a different way to interpret it. For example, if someone says "all but 9 die," does that mean that 9 die and the rest live? No, that would be different. "All but 9" would mean that 9 are not included in the "all." So if you have all except 9, then 9 are the ones that are not part of the "all." So if the "all" refers to the ones that die, then "all but 9" would mean that 9 are not dying, so they are alive. Therefore, the answer is 9.
Alternatively, maybe the question is trying to trick you into thinking it's 8, but actually, it's 9. Let me check with an example. Suppose there are 10 sheep. If all but 3 die, how many live? It would be 3. So applying the same logic, 17 sheep, all but 9 die, so 9 live. Therefore, the answer is 9.
But wait, maybe there's a trick with the wording. The question says "all but 9 die." So "all" refers to the entire group. So "all but 9" is the same as "9 are left." Therefore, the answer is 9. So the farmer has 9 live sheep left. That seems straightforward. But maybe I need to confirm with another example. If there are 5 sheep, and all but 2 die, then 2 are left. So yes, same logic. Therefore, in the original problem, 17 sheep, all but 9 die, so 9 are left. Therefore, the answer is 9.
But wait, sometimes people might think that "all but 9" means that 9 die, but that would be incorrect. Because "all but 9" is a way of saying "everything except 9," so the 9 are the ones that are not included in the action. Since the action is "die," then the 9 are the ones that don't die. Therefore, the answer is 9. So I think that's the correct answer.</t>
        </is>
      </c>
      <c r="H19" s="10" t="n"/>
      <c r="I19" s="10" t="n"/>
      <c r="J19" s="10" t="n"/>
      <c r="K19" s="10" t="n"/>
      <c r="L19" s="10">
        <f>IF(COUNT(H19:K19)&gt;0, SUM(H19:K19), "")</f>
        <v/>
      </c>
      <c r="M19" s="10" t="inlineStr">
        <is>
          <t>2026-09-16 11:30:23</t>
        </is>
      </c>
      <c r="N19" s="10" t="n">
        <v>40.401</v>
      </c>
      <c r="O19" s="10" t="n">
        <v>31.734</v>
      </c>
      <c r="P19" s="10" t="n">
        <v>995</v>
      </c>
      <c r="Q19" s="10">
        <f>IF(AND(ISNUMBER(O19), O19&gt;0, ISNUMBER(P19)), ROUND(P19/O19, 2), IF(AND(ISNUMBER(N19), N19&gt;0, ISNUMBER(P19)), ROUND(P19/N19, 2), ""))</f>
        <v/>
      </c>
      <c r="R19" s="10" t="n">
        <v>5.35</v>
      </c>
      <c r="S19" s="10" t="inlineStr">
        <is>
          <t>Completed</t>
        </is>
      </c>
      <c r="T19" s="10" t="inlineStr">
        <is>
          <t>Pending</t>
        </is>
      </c>
      <c r="U19" s="9" t="inlineStr">
        <is>
          <t>data/responses/Q06_QWEN.json</t>
        </is>
      </c>
      <c r="V19" s="9" t="n"/>
    </row>
    <row r="20" ht="39.6" customHeight="1" s="18">
      <c r="A20" s="2" t="inlineStr">
        <is>
          <t>Q07_PHI</t>
        </is>
      </c>
      <c r="B20" s="2" t="inlineStr">
        <is>
          <t>Q07</t>
        </is>
      </c>
      <c r="C20" s="3" t="inlineStr">
        <is>
          <t>phi4-mini-reasoning</t>
        </is>
      </c>
      <c r="D20" s="3" t="inlineStr">
        <is>
          <t>Logical reasoning</t>
        </is>
      </c>
      <c r="E20" s="2" t="inlineStr">
        <is>
          <t>Easy</t>
        </is>
      </c>
      <c r="F20" s="19" t="inlineStr">
        <is>
          <t>All roses are flowers. Some flowers fade quickly. Does it strictly follow that some roses fade quickly? Answer with 'Yes' or 'No' and provide a formal logical justification.</t>
        </is>
      </c>
      <c r="G20" s="9" t="inlineStr">
        <is>
          <t>[FINAL ANSWER]
\boxed{No}
**Logical Justification:**  
The premises "All roses are flowers" (∀x, if x is a rose then x is a flower) and "Some flowers fade quickly" (∃x, x is a flower that fades quickly) do not necessarily entail "Some roses fade quickly" (∃x, x is a rose that fades quickly). 
Formally, consider a model where:  
1. All roses are flowers (satisfies ∀
[THINKING PROCESS (&lt;think&gt;)]
Okay, let's see. The problem is: All roses are flowers. Some flowers fade quickly. Does it strictly follow that some roses fade quickly? The answer is either Yes or No, and I need to provide a formal logical justification.
Hmm. So first, let's break down the statements. The first premise is "All roses are flowers." In logical terms, that would be a universal statement: For all x, if x is a rose, then x is a flower. Symbolically, ∀x (Rose(x) → Flower(x)). 
The second premise is "Some flowers fade quickly." That's an existential statement: There exists at least one flower that fades quickly. Symbolically, ∃x (Flower(x) ∧ FadeQuick(x)).
The question is asking if these two premises necessarily lead to "Some roses fade quickly," which is the conclusion we need to evaluate. Symbolically, that would be ∃x (Rose(x) ∧ FadeQuick(x)).
So, the task is to determine if the conjunction of the two premises (∀x (Rose(x) → Flower(x)) ∧ ∃x (Flower(x) ∧ FadeQuick(x)) ) entails ∃x (Rose(x) ∧ FadeQuick(x)).
I need to check if the first two statements together necessarily make the third one true. In other words, is the conclusion a logical consequence of the premises?
Let me think about this. The first premise says that all roses are flowers, which is a one-way implication. It doesn't say that flowers are all roses. So, there could be flowers that are not roses. The second premise says that some flowers fade quickly, but those flowers could be any kind of flower, not necessarily roses.
For example, imagine a world where all roses are flowers, but the flowers that fade quickly are daisils, which are not roses. In that case, the premises would be true, but the conclusion that some roses fade quickly would also be true. Wait, no, in that case, the premises are true, but the conclusion is false. Wait, no, if the flowers that fade quickly are daisils, then there are no roses that fade quickly. But the premises don't say anything about roses fading quickly. So in that scenario, the premises are true, but the conclusion is false. Therefore, the conclusion doesn't strictly follow. So the answer would be No.
But let me verify this with formal logic. Let's see. Suppose we have:
1. ∀x (Rose(x) → Flower(x))  
2. ∃x (Flower(x) ∧ FadeQuick(x))  
Does this entail ∃x (Rose(x) ∧ FadeQuick(x))?
To check for entailment, we need to see if every model that satisfies the premises also satisfies the conclusion.
Consider a model where all roses are flowers. Let's say in this model, there are some flowers that fade quickly, but those flowers are not roses. For instance, let’s take a domain where the only flowers are daisils and roses. The daillils are the ones that fade quickly. But roses are also flowers, but they don't fade quickly. So in this model, premise 1 is true because all roses are flowers. Premise 2 is true because daisils (which are flowers) fade quickly. However, the conclusion ∃x (Rose(x) ∧ FadeQuick(x)) is false because no roses fade quickly. Therefore, the premises can be true without the conclusion being true. Hence, the conclusion does not follow necessarily. So the answer is No.
Another way to think about it is using syllogism. The problem is testing whether the syllogism is valid. The structure here is:
All A are B. Some B are C. Therefore, some A are C.
In traditional syllogism terms, this is a fallacy of the undistributed variable. The first premise is "All A are B," which is valid. The second premise is "Some B are C." The problem is trying to conclude "Some A are C." But this isn't a valid syllogistic form. The middle term B is undistributed in the second premise ("Some B are C" is an existential statement, which doesn't distribute). Therefore, the syllogism is invalid. The conclusion doesn't necessarily follow.
So, in summary, the answer is No because the premises don't provide sufficient information to conclude that roses fade quickly; the flowers that fade quickly could be a different category of flowers that are not roses.</t>
        </is>
      </c>
      <c r="H20" s="10" t="n"/>
      <c r="I20" s="10" t="n"/>
      <c r="J20" s="10" t="n"/>
      <c r="K20" s="10" t="n"/>
      <c r="L20" s="10">
        <f>IF(COUNT(H20:K20)&gt;0, SUM(H20:K20), "")</f>
        <v/>
      </c>
      <c r="M20" s="10" t="inlineStr">
        <is>
          <t>2026-09-16 11:10:10</t>
        </is>
      </c>
      <c r="N20" s="10" t="n">
        <v>33.518</v>
      </c>
      <c r="O20" s="10" t="n">
        <v>26.882</v>
      </c>
      <c r="P20" s="10" t="n">
        <v>1024</v>
      </c>
      <c r="Q20" s="10">
        <f>IF(AND(ISNUMBER(O20), O20&gt;0, ISNUMBER(P20)), ROUND(P20/O20, 2), IF(AND(ISNUMBER(N20), N20&gt;0, ISNUMBER(P20)), ROUND(P20/N20, 2), ""))</f>
        <v/>
      </c>
      <c r="R20" s="10" t="n">
        <v>3.64</v>
      </c>
      <c r="S20" s="10" t="inlineStr">
        <is>
          <t>Completed</t>
        </is>
      </c>
      <c r="T20" s="10" t="inlineStr">
        <is>
          <t>Pending</t>
        </is>
      </c>
      <c r="U20" s="9" t="inlineStr">
        <is>
          <t>data/responses/Q07_PHI.json</t>
        </is>
      </c>
      <c r="V20" s="9" t="inlineStr">
        <is>
          <t>Reached max tokens limit (num_predict=1024)</t>
        </is>
      </c>
    </row>
    <row r="21" ht="39.6" customHeight="1" s="18">
      <c r="A21" s="2" t="inlineStr">
        <is>
          <t>Q07_DSR1</t>
        </is>
      </c>
      <c r="B21" s="2" t="inlineStr">
        <is>
          <t>Q07</t>
        </is>
      </c>
      <c r="C21" s="3" t="inlineStr">
        <is>
          <t>deepseek-r1:7b</t>
        </is>
      </c>
      <c r="D21" s="3" t="inlineStr">
        <is>
          <t>Logical reasoning</t>
        </is>
      </c>
      <c r="E21" s="2" t="inlineStr">
        <is>
          <t>Easy</t>
        </is>
      </c>
      <c r="F21" s="19" t="inlineStr">
        <is>
          <t>All roses are flowers. Some flowers fade quickly. Does it strictly follow that some roses fade quickly? Answer with 'Yes' or 'No' and provide a formal logical justification.</t>
        </is>
      </c>
      <c r="G21" s="9" t="inlineStr">
        <is>
          <t>[FINAL ANSWER]
Yes.
The conclusion strictly follows from the premises. 
1. The first premise states that all roses are flowers, which can be represented as ∀x (R(x) → F(x)).
2. The second premise states that some flowers fade quickly, represented as ∃x (F(x) ∧ Q(x)).
3. Combining these, we can infer that there exists at least one x such that R(x) ∧ Q(x), because if all roses are flowers and some flowers fade quickly, those flowers that fade quickly must include roses.
4. Therefore, some roses fade quickly, which is the conclusion.
This follows logically using the rules of syllogistic logic, specifically the Barbara syllogism, ensuring the conclusion is valid.
[THINKING PROCESS (&lt;think&gt;)]
Okay, so I have this logic problem here: "All roses are flowers. Some flowers fade quickly. Does it strictly follow that some roses fade quickly?" I need to figure out if the conclusion necessarily follows from the premises. Hmm, let's break this down step by step.
First, let's translate the statements into logical terms. The first premise is "All roses are flowers." In predicate logic, that would be something like ∀x (R(x) → F(x)), where R(x) means "x is a rose" and F(x) means "x is a flower." So every rose is a flower.
The second premise is "Some flowers fade quickly." That translates to ∃x (F(x) ∧ Q(x)), where Q(x) means "x fades quickly." So there exists at least one flower that fades quickly.
Now, the question is whether we can conclude that "Some roses fade quickly," which would be ∃x (R(x) ∧ Q(x)). 
I remember that in syllogistic logic, if all members of one category (roses) are included in another (flowers), and some members of the second category (flowers) have a certain property (fade quickly), then it follows that some members of the first category (roses) must also have that property. This is similar to the Barbara syllogism, which is a valid form in traditional syllogistics.
But wait, I should make sure I'm not missing anything. Let me think of an example. Suppose all roses are indeed flowers. Now, if some flowers fade quickly, does that mean some roses do too? Well, since all roses are flowers, any flower that fades quickly could be a rose. So yes, there must be some roses that fade quickly.
Alternatively, if I think about it in terms of sets, the set of roses is a subset of the set of flowers. The set of flowers that fade quickly is a non-empty subset of all flowers. Since roses are entirely within flowers, the intersection of roses and flowers that fade quickly must also be non-empty. Therefore, some roses fade quickly.
I don't think there's a scenario where all flowers that fade quickly are non-roses. Because if all roses are flowers, then any flower that is a rose is part of the set that could fade quickly. So the conclusion seems to hold.
Wait, could there be a case where all flowers that fade quickly are non-roses? No, because if all roses are flowers, then the flowers that fade quickly could include roses or not, but since we know some flowers fade quickly, and all roses are flowers, it's possible that some of those flowers that fade quickly are roses. Therefore, it's necessary that some roses fade quickly.
So, putting it all together, the premises do lead to the conclusion. Therefore, the answer should be 'Yes'.</t>
        </is>
      </c>
      <c r="H21" s="10" t="n"/>
      <c r="I21" s="10" t="n"/>
      <c r="J21" s="10" t="n"/>
      <c r="K21" s="10" t="n"/>
      <c r="L21" s="10">
        <f>IF(COUNT(H21:K21)&gt;0, SUM(H21:K21), "")</f>
        <v/>
      </c>
      <c r="M21" s="10" t="inlineStr">
        <is>
          <t>2026-09-16 11:23:56</t>
        </is>
      </c>
      <c r="N21" s="10" t="n">
        <v>31.621</v>
      </c>
      <c r="O21" s="10" t="n">
        <v>24.053</v>
      </c>
      <c r="P21" s="10" t="n">
        <v>742</v>
      </c>
      <c r="Q21" s="10">
        <f>IF(AND(ISNUMBER(O21), O21&gt;0, ISNUMBER(P21)), ROUND(P21/O21, 2), IF(AND(ISNUMBER(N21), N21&gt;0, ISNUMBER(P21)), ROUND(P21/N21, 2), ""))</f>
        <v/>
      </c>
      <c r="R21" s="10" t="n">
        <v>4.53</v>
      </c>
      <c r="S21" s="10" t="inlineStr">
        <is>
          <t>Completed</t>
        </is>
      </c>
      <c r="T21" s="10" t="inlineStr">
        <is>
          <t>Pending</t>
        </is>
      </c>
      <c r="U21" s="9" t="inlineStr">
        <is>
          <t>data/responses/Q07_DSR1.json</t>
        </is>
      </c>
      <c r="V21" s="9" t="n"/>
    </row>
    <row r="22" ht="39.6" customHeight="1" s="18">
      <c r="A22" s="2" t="inlineStr">
        <is>
          <t>Q07_QWEN</t>
        </is>
      </c>
      <c r="B22" s="2" t="inlineStr">
        <is>
          <t>Q07</t>
        </is>
      </c>
      <c r="C22" s="3" t="inlineStr">
        <is>
          <t>qwen3:8b</t>
        </is>
      </c>
      <c r="D22" s="3" t="inlineStr">
        <is>
          <t>Logical reasoning</t>
        </is>
      </c>
      <c r="E22" s="2" t="inlineStr">
        <is>
          <t>Easy</t>
        </is>
      </c>
      <c r="F22" s="19" t="inlineStr">
        <is>
          <t>All roses are flowers. Some flowers fade quickly. Does it strictly follow that some roses fade quickly? Answer with 'Yes' or 'No' and provide a formal logical justification.</t>
        </is>
      </c>
      <c r="G22" s="14" t="inlineStr">
        <is>
          <t>[FINAL ANSWER]
No. 
**Formal Justification:**  
Let R(x) = "x is a rose," F(x) = "x is a flower," and Q(x) = "x fades quickly."  
- Premise 1: ∀x (R(x) → F(x)) (All roses are flowers).  
- Premise 2: ∃x (F(x) ∧ Q(x)) (Some flowers fade quickly).  
The conclusion ∃x (R(x) ∧ Q(x)) ("Some roses fade quickly") does not strictly follow. Premise 2 only asserts that some flowers (possibly non-roses) fade quickly. Since roses are a subset of flowers, there is no logical necessity that the flowers fading quickly overlap with roses. For example, all flowers that fade quickly could be non-roses, making the conclusion false while preserving the premises. Thus, the conclusion is not entailed by the premises.
[THINKING PROCESS (&lt;think&gt;)]
Okay, let's see. The question is about whether the statement "All roses are flowers. Some flowers fade quickly. Does it strictly follow that some roses fade quickly?" So I need to figure out if the conclusion necessarily follows from the premises.
First, let me break down the premises. The first premise is "All roses are flowers." In logical terms, this is a universal statement. So if I denote R as roses and F as flowers, then this would be ∀x (R(x) → F(x)). That means for every x, if x is a rose, then x is a flower.
The second premise is "Some flowers fade quickly." Let me denote F as flowers and Q as fade quickly. So this is ∃x (F(x) ∧ Q(x)). There exists at least one x that is a flower and fades quickly.
Now, the conclusion is "Some roses fade quickly," which would be ∃x (R(x) ∧ Q(x)).
So the question is, does the combination of the two premises necessarily lead to the conclusion?
Let me think about logical implications. The first premise says all roses are flowers, so roses are a subset of flowers. The second premise says that some flowers (which could be any subset) fade quickly. But does that mean that some roses must be in that subset?
Wait, here's a possible problem. The second premise says some flowers fade quickly, but those flowers could be entirely separate from roses. For example, maybe all the flowers that fade quickly are not roses. So even though all roses are flowers, the flowers that fade quickly might not include any roses. Therefore, the conclusion that some roses fade quickly might not hold.
Let me try to formalize this. Suppose we have a universe of flowers. Let's say there are two groups: roses and non-roses. The first premise says all roses are in the flowers. The second premise says that some flowers (maybe non-roses) fade quickly. There's no information linking the fading quickly to roses specifically. So unless there's an overlap between the flowers that fade quickly and the roses, we can't conclude that some roses fade quickly.
So, for example, imagine a scenario where all flowers that fade quickly are tulips, and there are no tulips that are roses. Then the premises hold, but the conclusion doesn't. Therefore, the conclusion isn't necessarily true.
Therefore, the answer should be No. The premises don't strictly lead to the conclusion because the set of flowers that fade quickly might not intersect with roses at all.</t>
        </is>
      </c>
      <c r="H22" s="10" t="n"/>
      <c r="I22" s="10" t="n"/>
      <c r="J22" s="10" t="n"/>
      <c r="K22" s="10" t="n"/>
      <c r="L22" s="10">
        <f>IF(COUNT(H22:K22)&gt;0, SUM(H22:K22), "")</f>
        <v/>
      </c>
      <c r="M22" s="10" t="inlineStr">
        <is>
          <t>2026-09-16 11:31:23</t>
        </is>
      </c>
      <c r="N22" s="10" t="n">
        <v>28.545</v>
      </c>
      <c r="O22" s="10" t="n">
        <v>23.701</v>
      </c>
      <c r="P22" s="10" t="n">
        <v>716</v>
      </c>
      <c r="Q22" s="10">
        <f>IF(AND(ISNUMBER(O22), O22&gt;0, ISNUMBER(P22)), ROUND(P22/O22, 2), IF(AND(ISNUMBER(N22), N22&gt;0, ISNUMBER(P22)), ROUND(P22/N22, 2), ""))</f>
        <v/>
      </c>
      <c r="R22" s="10" t="n">
        <v>5.35</v>
      </c>
      <c r="S22" s="10" t="inlineStr">
        <is>
          <t>Completed</t>
        </is>
      </c>
      <c r="T22" s="10" t="inlineStr">
        <is>
          <t>Pending</t>
        </is>
      </c>
      <c r="U22" s="9" t="inlineStr">
        <is>
          <t>data/responses/Q07_QWEN.json</t>
        </is>
      </c>
      <c r="V22" s="9" t="n"/>
    </row>
    <row r="23" ht="39.6" customHeight="1" s="18">
      <c r="A23" s="2" t="inlineStr">
        <is>
          <t>Q08_PHI</t>
        </is>
      </c>
      <c r="B23" s="2" t="inlineStr">
        <is>
          <t>Q08</t>
        </is>
      </c>
      <c r="C23" s="3" t="inlineStr">
        <is>
          <t>phi4-mini-reasoning</t>
        </is>
      </c>
      <c r="D23" s="3" t="inlineStr">
        <is>
          <t>Logical reasoning</t>
        </is>
      </c>
      <c r="E23" s="2" t="inlineStr">
        <is>
          <t>Medium</t>
        </is>
      </c>
      <c r="F23" s="19" t="inlineStr">
        <is>
          <t>Alice, Bob, and Charlie are sitting in a row. Alice is not on the far right. Bob is sitting to the immediate right of Alice. Who is sitting on the far left? Deduce the exact left-to-right seating arrangement step by step.</t>
        </is>
      </c>
      <c r="G23" s="9" t="inlineStr">
        <is>
          <t>&lt;think&gt;
Okay, let's see. So there are three people: Alice, Bob, and Charlie. They're sitting in a row. The problem says Alice is not on the far right. Bob is sitting to the immediate right of Alice. We need to figure out who's on the far left.
First, let me visualize the seating arrangement. There are three seats in a row, so the positions are left to right, let's say positions 1, 2, 3. We need to arrange Alice (A), Bob (B), and Charlie (C) in these positions.
The key clues here are:
1. Alice is not on the far right. So Alice can't be in position 3.
2. Bob is sitting to the immediate right of Alice. That means wherever Alice is sitting, Bob is next to her on the right side. So if Alice is in position 1, Bob must be in position 2. If Alice were in position 2, Bob would have to be in position 3. But Alice can't be in position 3 because she's not on the far right.
Let's break it down step by step.
First, possible positions for Alice. Since she's not on the far right (position 3), she must be in position 1 or 2.
Case 1: Alice is in position 1. Then Bob, being to her immediate right, would be in position 2. That leaves Charlie in position 3. So the arrangement would be A, B, C. In this case, the far left is Alice. But let's check if this fits all conditions. Alice is not on the far right (she's in 1, which is fine). Bob is immediately right of Alice (1 and 2, correct). So this is a possible arrangement.
Case 2: Alice is in position 2. Then Bob must be in position 3 (immediate right). That leaves Charlie in position 1. So the arrangement would be C, A, B. Here, Alice is in position 2 (not far right), Bob is immediately right of Alice. So this also fits all conditions. In this case, the far left is Charlie.
Wait, so there are two possible arrangements? But the question asks "Who is sitting on the far left?" which suggests there's a unique answer. Did I miss something?
Let me check again. The problem states that Alice is not on the far right. So in the first case, Alice is on the far left. In the second case, Alice is in the middle. Both are allowed. But Bob must be immediately to the right of Alice. So in the first case, A-B-C, Bob is next to Alice. In the second case, C-A-B, Bob is next to Alice. Both satisfy the conditions. But the problem seems to expect a single answer. Hmm.
Wait, maybe there's a constraint I overlooked. The problem says "sitting in a row" but doesn't specify if they are sitting in a straight line (so three seats) or a circular arrangement. But the mention of "far left" and "far right" implies a straight line, not circular. So three seats in a row.
But the problem allows for two possible arrangements. However, the question is asking "Who is sitting on the far left?" So in the first case, Alice is far left. In the second case, Charlie is far left. So how do we determine which is correct?
Wait, maybe there's a unique solution. Let me check again. If Alice is in position 2, Bob in 3, Charlie in 1. Then Alice is not on the far right (since far right is 3, she's in 2). So that's okay. So both arrangements are possible. But the problem must have a unique answer. Maybe I made a mistake.
Wait, perhaps the problem is designed such that only one arrangement is possible. Let me think again. If Alice is in position 1, then Bob is 2, Charlie 3. Alice is not on the far right (she's on the left), which is okay. If Alice is in position 2, Bob in 3, Charlie in 1. Both are valid. But the problem says "Alice is not on the far right," which is true in both cases. So why would the answer be unique?
Wait, maybe the problem is from a source that expects a unique answer, so perhaps there's an implicit assumption. Let me check the problem again: "Alice is not on the far right. Bob is sitting to the immediate right of Alice. Who is sitting on the far left?"
Wait, maybe the answer is Charlie. Because if Alice is in the middle, Bob is right, then Charlie is left. But if Alice is on the far left, Bob next, Charlie on the right. But both are possible. However, maybe the problem expects that Alice cannot be on the far left because of some other reason. Wait, the problem only states that Alice is not on the far right</t>
        </is>
      </c>
      <c r="H23" s="10" t="n"/>
      <c r="I23" s="10" t="n"/>
      <c r="J23" s="10" t="n"/>
      <c r="K23" s="10" t="n"/>
      <c r="L23" s="10">
        <f>IF(COUNT(H23:K23)&gt;0, SUM(H23:K23), "")</f>
        <v/>
      </c>
      <c r="M23" s="10" t="inlineStr">
        <is>
          <t>2026-09-16 11:11:37</t>
        </is>
      </c>
      <c r="N23" s="10" t="n">
        <v>31.611</v>
      </c>
      <c r="O23" s="10" t="n">
        <v>27.301</v>
      </c>
      <c r="P23" s="10" t="n">
        <v>1024</v>
      </c>
      <c r="Q23" s="10">
        <f>IF(AND(ISNUMBER(O23), O23&gt;0, ISNUMBER(P23)), ROUND(P23/O23, 2), IF(AND(ISNUMBER(N23), N23&gt;0, ISNUMBER(P23)), ROUND(P23/N23, 2), ""))</f>
        <v/>
      </c>
      <c r="R23" s="10" t="n">
        <v>3.64</v>
      </c>
      <c r="S23" s="10" t="inlineStr">
        <is>
          <t>Completed</t>
        </is>
      </c>
      <c r="T23" s="10" t="inlineStr">
        <is>
          <t>Pending</t>
        </is>
      </c>
      <c r="U23" s="9" t="inlineStr">
        <is>
          <t>data/responses/Q08_PHI.json</t>
        </is>
      </c>
      <c r="V23" s="9" t="inlineStr">
        <is>
          <t>Reached max tokens limit (num_predict=1024)</t>
        </is>
      </c>
    </row>
    <row r="24" ht="39.6" customHeight="1" s="18">
      <c r="A24" s="2" t="inlineStr">
        <is>
          <t>Q08_DSR1</t>
        </is>
      </c>
      <c r="B24" s="2" t="inlineStr">
        <is>
          <t>Q08</t>
        </is>
      </c>
      <c r="C24" s="3" t="inlineStr">
        <is>
          <t>deepseek-r1:7b</t>
        </is>
      </c>
      <c r="D24" s="3" t="inlineStr">
        <is>
          <t>Logical reasoning</t>
        </is>
      </c>
      <c r="E24" s="2" t="inlineStr">
        <is>
          <t>Medium</t>
        </is>
      </c>
      <c r="F24" s="19" t="inlineStr">
        <is>
          <t>Alice, Bob, and Charlie are sitting in a row. Alice is not on the far right. Bob is sitting to the immediate right of Alice. Who is sitting on the far left? Deduce the exact left-to-right seating arrangement step by step.</t>
        </is>
      </c>
      <c r="G24" s="9" t="inlineStr">
        <is>
          <t>[FINAL ANSWER]
Let's determine the seating arrangement step by step.
1. **Alice is not on the far right.**
   - This means Alice can be either in the first or the second position.
2. **Bob is sitting immediately to the right of Alice.**
   - If Alice is in the first position, then Bob must be in the second position.
   - If Alice is in the second position, then Bob would have to be in the third position.
3. **Analyzing the possibilities:**
   - **Case 1:** Alice in the first position.
     - Bob is in the second position.
     - Charlie must be in the third position.
     - **Seating Arrangement:** Alice (1st), Bob (2nd), Charlie (3rd).
   - **Case 2:** Alice in the second position.
     - Bob is in the third position.
     - This would place Alice in the middle, which contradicts the information that Alice is not on the far right.
     - **This case is invalid.**
4. **Conclusion:**
   - The only valid seating arrangement is:
     - **Alice** in the first position.
     - **Bob** in the second position.
     - **Charlie** in the third position.
\[
\boxed{\text{Alice, Bob, Charlie}}
\]
[THINKING PROCESS (&lt;think&gt;)]
First, I note that Alice is not sitting on the far right. This means Alice can be either in the first or the second position.
Next, Bob is sitting immediately to the right of Alice. If Alice is in the first position, then Bob must be in the second position. This would leave Charlie to be in the third position.
If Alice were in the second position, Bob would have to be in the third position. However, this would place Alice in the middle, which contradicts the information that Alice is not on the far right.
Therefore, the only valid arrangement is Alice in the first position, Bob in the second position, and Charlie in the third position.</t>
        </is>
      </c>
      <c r="H24" s="10" t="n"/>
      <c r="I24" s="10" t="n"/>
      <c r="J24" s="10" t="n"/>
      <c r="K24" s="10" t="n"/>
      <c r="L24" s="10">
        <f>IF(COUNT(H24:K24)&gt;0, SUM(H24:K24), "")</f>
        <v/>
      </c>
      <c r="M24" s="10" t="inlineStr">
        <is>
          <t>2026-09-16 11:24:59</t>
        </is>
      </c>
      <c r="N24" s="10" t="n">
        <v>22.279</v>
      </c>
      <c r="O24" s="10" t="n">
        <v>14.8</v>
      </c>
      <c r="P24" s="10" t="n">
        <v>412</v>
      </c>
      <c r="Q24" s="10">
        <f>IF(AND(ISNUMBER(O24), O24&gt;0, ISNUMBER(P24)), ROUND(P24/O24, 2), IF(AND(ISNUMBER(N24), N24&gt;0, ISNUMBER(P24)), ROUND(P24/N24, 2), ""))</f>
        <v/>
      </c>
      <c r="R24" s="10" t="n">
        <v>4.53</v>
      </c>
      <c r="S24" s="10" t="inlineStr">
        <is>
          <t>Completed</t>
        </is>
      </c>
      <c r="T24" s="10" t="inlineStr">
        <is>
          <t>Pending</t>
        </is>
      </c>
      <c r="U24" s="9" t="inlineStr">
        <is>
          <t>data/responses/Q08_DSR1.json</t>
        </is>
      </c>
      <c r="V24" s="9" t="n"/>
    </row>
    <row r="25" ht="39.6" customHeight="1" s="18">
      <c r="A25" s="2" t="inlineStr">
        <is>
          <t>Q08_QWEN</t>
        </is>
      </c>
      <c r="B25" s="2" t="inlineStr">
        <is>
          <t>Q08</t>
        </is>
      </c>
      <c r="C25" s="3" t="inlineStr">
        <is>
          <t>qwen3:8b</t>
        </is>
      </c>
      <c r="D25" s="3" t="inlineStr">
        <is>
          <t>Logical reasoning</t>
        </is>
      </c>
      <c r="E25" s="2" t="inlineStr">
        <is>
          <t>Medium</t>
        </is>
      </c>
      <c r="F25" s="19" t="inlineStr">
        <is>
          <t>Alice, Bob, and Charlie are sitting in a row. Alice is not on the far right. Bob is sitting to the immediate right of Alice. Who is sitting on the far left? Deduce the exact left-to-right seating arrangement step by step.</t>
        </is>
      </c>
      <c r="G25" s="9" t="inlineStr">
        <is>
          <t>&lt;think&gt;
Okay, let's try to figure out this seating arrangement problem. So, we have Alice, Bob, and Charlie sitting in a row. The question says Alice is not on the far right. Also, Bob is sitting to the immediate right of Alice. We need to determine who is sitting on the far left. Let me break this down step by step.
First, let me recall that there are three people: Alice, Bob, and Charlie. They are sitting in a row, which means there are three seats in a straight line. The positions can be considered as left to right: Position 1 (far left), Position 2 (middle), and Position 3 (far right).
The first condition is that Alice is not on the far right. So Alice cannot be in Position 3. That leaves Alice possibly in Position 1 or Position 2.
The second condition is that Bob is sitting to the immediate right of Alice. That means wherever Alice is sitting, Bob must be directly to her right. So if Alice is in Position 1, Bob would be in Position 2. If Alice is in Position 2, Bob would be in Position 3. However, we also know that Alice cannot be in Position 3, so those are the only two possibilities for Alice's position.
Let me consider each possibility one by one.
First possibility: Alice is in Position 1. Then Bob must be in Position 2 (since he's immediately to the right of Alice). That leaves Charlie to be in Position 3. Let me check if this satisfies all conditions. Alice is not on the far right (she's in Position 1), which is good. Bob is immediately to the right of Alice (Position 1 and 2), which is also good. So this arrangement would be Alice, Bob, Charlie. Then the far left is Alice. But let me check the other possibility to make sure there isn't another solution.
Second possibility: Alice is in Position 2. Then Bob must be in Position 3 (immediately to the right). That leaves Charlie to be in Position 1. Let's check the conditions. Alice is not on the far right (she's in Position 2), which is okay. Bob is immediately to the right of Alice (Position 2 and 3), which is correct. So this arrangement would be Charlie, Alice, Bob. In this case, the far left is Charlie.
Wait, so there are two possible arrangements? But the question says "Deduce the exact left-to-right seating arrangement step by step." So maybe there's only one solution? Did I make a mistake here?
Let me check again. The problem states that Alice is not on the far right. So both possibilities where Alice is in Position 1 or 2 are allowed. However, the second condition is that Bob is immediately to the right of Alice. So if Alice is in Position 2, Bob is in Position 3. Then Charlie is in Position 1. But is there any other constraints? The problem doesn't mention anything about Charlie's position. So both arrangements seem possible?
But the question asks "Who is sitting on the far left?" implying there is a unique answer. Maybe I missed something?
Wait, let me think again. Let me list both possibilities:
Case 1: Alice (Position 1), Bob (Position 2), Charlie (Position 3). Far left is Alice.
Case 2: Charlie (Position 1), Alice (Position 2), Bob (Position 3). Far left is Charlie.
But the problem says "Alice is not on the far right." In both cases, Alice is not on the far right. So both cases satisfy the given conditions. Therefore, there are two possible solutions? But the question seems to expect a single answer. Maybe there's an implicit assumption here?
Wait, maybe there's something wrong with my reasoning. Let me check again.
If there are three seats, and Alice cannot be on the far right, so she can be in seat 1 or 2. If she is in seat 1, Bob is in seat 2, so Charlie is in seat 3. If she is in seat 2, Bob is in seat 3, so Charlie is in seat 1. Both are valid. Therefore, there are two possible arrangements. However, the problem says "Deduce the exact left-to-right seating arrangement." Maybe there's more constraints?
Wait, maybe I need to check if there are any other constraints. The problem says "Alice, Bob, and Charlie are sitting in a row." So all three are seated, no one is missing. The problem doesn't mention anything else. Therefore, both arrangements are possible. But the question is asking "Who is sitting on the far left?" So maybe there's a unique answer? Maybe I need to check if there's something wrong with my reasoning.
Alternatively, maybe the problem assumes that there are three seats, so positions 1, 2,
&lt;/think&gt;</t>
        </is>
      </c>
      <c r="H25" s="10" t="n"/>
      <c r="I25" s="10" t="n"/>
      <c r="J25" s="10" t="n"/>
      <c r="K25" s="10" t="n"/>
      <c r="L25" s="10">
        <f>IF(COUNT(H25:K25)&gt;0, SUM(H25:K25), "")</f>
        <v/>
      </c>
      <c r="M25" s="10" t="inlineStr">
        <is>
          <t>2026-09-16 11:32:29</t>
        </is>
      </c>
      <c r="N25" s="10" t="n">
        <v>36.968</v>
      </c>
      <c r="O25" s="10" t="n">
        <v>32.412</v>
      </c>
      <c r="P25" s="10" t="n">
        <v>1024</v>
      </c>
      <c r="Q25" s="10">
        <f>IF(AND(ISNUMBER(O25), O25&gt;0, ISNUMBER(P25)), ROUND(P25/O25, 2), IF(AND(ISNUMBER(N25), N25&gt;0, ISNUMBER(P25)), ROUND(P25/N25, 2), ""))</f>
        <v/>
      </c>
      <c r="R25" s="10" t="n">
        <v>5.35</v>
      </c>
      <c r="S25" s="10" t="inlineStr">
        <is>
          <t>Completed</t>
        </is>
      </c>
      <c r="T25" s="10" t="inlineStr">
        <is>
          <t>Pending</t>
        </is>
      </c>
      <c r="U25" s="9" t="inlineStr">
        <is>
          <t>data/responses/Q08_QWEN.json</t>
        </is>
      </c>
      <c r="V25" s="9" t="inlineStr">
        <is>
          <t>Reached max tokens limit (num_predict=1024)</t>
        </is>
      </c>
    </row>
    <row r="26" ht="39.6" customHeight="1" s="18">
      <c r="A26" s="2" t="inlineStr">
        <is>
          <t>Q09_PHI</t>
        </is>
      </c>
      <c r="B26" s="2" t="inlineStr">
        <is>
          <t>Q09</t>
        </is>
      </c>
      <c r="C26" s="3" t="inlineStr">
        <is>
          <t>phi4-mini-reasoning</t>
        </is>
      </c>
      <c r="D26" s="3" t="inlineStr">
        <is>
          <t>Logical reasoning</t>
        </is>
      </c>
      <c r="E26" s="2" t="inlineStr">
        <is>
          <t>Medium</t>
        </is>
      </c>
      <c r="F26" s="19" t="inlineStr">
        <is>
          <t>You have a 3-liter jug and a 5-liter jug, and an unlimited supply of water. How can you measure out exactly 4 liters using only these two jugs without any measuring scales? Detail every pour step.</t>
        </is>
      </c>
      <c r="G26" s="9" t="inlineStr">
        <is>
          <t>&lt;think&gt;
Okay, so I need to figure out how to measure exactly 4 liters using a 3-liter jug and a 5-liter jug. Hmm, let's see. I remember these kinds of problems usually involve filling, pouring, and emptying different amounts. Let me start by recalling the classic water jug problem solutions. 
First, maybe I should write down the capacities: 3L and 5L. The goal is to get 4L. Since 4 is between 3 and 5, maybe there's a way to combine them. Let me think step by step.
Let me start by considering the possible states. Each state can be represented by the amount of water in each jug. Let's denote the 5-liter jug as J5 and the 3-liter jug as J3. Initially, both are empty: (0,0). The possible operations are filling a jug to its capacity, emptying a jug, or pouring water from one jug to another until either the source is empty or the destination is full.
I need to find a sequence of operations that leads to 4 liters in one of the jugs. Let me try to outline possible steps.
One common approach is to fill the larger jug first. So, fill J5 completely: (5,0). Then pour into J3 until it's full. That would leave J5 with 5 - 3 = 2 liters. So now we have (2,3). Then empty J3: (2,0). Pour the remaining 2 liters from J5 into J3. Now J3 has 2 liters, J5 is empty: (0,2). Fill J5 again: (5,2). Pour from J5 into J3 until it's full. Since J3 can take 1 more liter (3-2=1), pour 1 liter into J3, leaving J5 with 5 - 1 = 4 liters. So J5 now has 4 liters. That seems to work!
Wait, let me check each step again to make sure.
1. Fill J5 completely: J5=5, J3=0. (5,0)
2. Pour from J5 to J3 until J3 is full. J5 has 5-3=2, J3=3. (2,3)
3. Empty J3: J3=0, J5=2. (2,0)
4. Pour from J5 to J3: J5=0, J3=2. (0,2)
5. Fill J5 completely: J5=5, J3=2. (5,2)
6. Pour from J5 to J3 until J3 is full. J3 can take 1 more liter. So pour 1 liter from J5 to J3. J5 now has 5-1=4, J3 is full at 3. (4,3)
7. Now, we have 4 liters in J5. So that's the solution.
But let me see if there's another way. Maybe starting by filling J3 first? Let's try.
1. Fill J3: (0,3)
2. Pour into J5: J5=3, J3=0. (3,0)
3. Fill J3 again: (3,3)
4. Pour into J5. J5 can take 5-3=2 liters. So pour 2 liters, J3 has 1 left. (5,1)
5. Empty J5: (0,1)
6. Pour the 1 liter from J3 to J5: (1,0)
7. Fill J3: (1,3)
8. Pour into J5: J5 can take 4 liters (5-1=4), so pour all 3 liters from J3. Now J5 has 1+3=4, J3 is empty. (4,0)
Yes, that also works. So there are at least two methods. But the problem asks to detail every pour step. Let me confirm which one is the standard solution. The first method I thought of is probably the more straightforward one. Let me write out the steps again clearly.
First method:
1. Fill the 5-liter jug completely. (5,0)
2. Pour from the 5-liter jug into the 3-liter jug until the 3-liter is full. This leaves 2 liters in the 5-liter jug. (2,3)
3. Empty the 3-liter jug. (2,0)
4. Pour the remaining 2 liters from the 5-liter jug into the 3-liter jug. (0,2)
5. Fill the 5-liter jug completely again. (5,2)
6. Pour from the 5-liter jug into the 3-liter jug until the 3-liter is full. Since the 3-liter jug already has 2 liters</t>
        </is>
      </c>
      <c r="H26" s="10" t="n"/>
      <c r="I26" s="10" t="n"/>
      <c r="J26" s="10" t="n"/>
      <c r="K26" s="10" t="n"/>
      <c r="L26" s="10">
        <f>IF(COUNT(H26:K26)&gt;0, SUM(H26:K26), "")</f>
        <v/>
      </c>
      <c r="M26" s="10" t="inlineStr">
        <is>
          <t>2026-09-16 11:13:20</t>
        </is>
      </c>
      <c r="N26" s="10" t="n">
        <v>30.733</v>
      </c>
      <c r="O26" s="10" t="n">
        <v>26.405</v>
      </c>
      <c r="P26" s="10" t="n">
        <v>1024</v>
      </c>
      <c r="Q26" s="10">
        <f>IF(AND(ISNUMBER(O26), O26&gt;0, ISNUMBER(P26)), ROUND(P26/O26, 2), IF(AND(ISNUMBER(N26), N26&gt;0, ISNUMBER(P26)), ROUND(P26/N26, 2), ""))</f>
        <v/>
      </c>
      <c r="R26" s="10" t="n">
        <v>3.64</v>
      </c>
      <c r="S26" s="10" t="inlineStr">
        <is>
          <t>Completed</t>
        </is>
      </c>
      <c r="T26" s="10" t="inlineStr">
        <is>
          <t>Pending</t>
        </is>
      </c>
      <c r="U26" s="9" t="inlineStr">
        <is>
          <t>data/responses/Q09_PHI.json</t>
        </is>
      </c>
      <c r="V26" s="9" t="inlineStr">
        <is>
          <t>Reached max tokens limit (num_predict=1024)</t>
        </is>
      </c>
    </row>
    <row r="27" ht="39.6" customHeight="1" s="18">
      <c r="A27" s="2" t="inlineStr">
        <is>
          <t>Q09_DSR1</t>
        </is>
      </c>
      <c r="B27" s="2" t="inlineStr">
        <is>
          <t>Q09</t>
        </is>
      </c>
      <c r="C27" s="3" t="inlineStr">
        <is>
          <t>deepseek-r1:7b</t>
        </is>
      </c>
      <c r="D27" s="3" t="inlineStr">
        <is>
          <t>Logical reasoning</t>
        </is>
      </c>
      <c r="E27" s="2" t="inlineStr">
        <is>
          <t>Medium</t>
        </is>
      </c>
      <c r="F27" s="19" t="inlineStr">
        <is>
          <t>You have a 3-liter jug and a 5-liter jug, and an unlimited supply of water. How can you measure out exactly 4 liters using only these two jugs without any measuring scales? Detail every pour step.</t>
        </is>
      </c>
      <c r="G27" s="9" t="inlineStr">
        <is>
          <t>[FINAL ANSWER]
To measure exactly **4 liters** using a **3-liter jug** and a **5-liter jug**, follow these step-by-step instructions:
1. **Fill the 5-liter jug completely.**
   - **5-liter jug:** 5 liters
   - **3-liter jug:** 0 liters
2. **Pour water from the 5-liter jug into the 3-liter jug until the 3-liter jug is full.**
   - **5-liter jug:** 2 liters (5 - 3 = 2)
   - **3-liter jug:** 3 liters
3. **Empty the 3-liter jug.**
   - **5-liter jug:** 2 liters
   - **3-liter jug:** 0 liters
4. **Pour the remaining 2 liters from the 5-liter jug into the 3-liter jug.**
   - **5-liter jug:** 0 liters
   - **3-liter jug:** 2 liters
5. **Fill the 5-liter jug completely again.**
   - **5-liter jug:** 5 liters
   - **3-liter jug:** 2 liters
6. **Pour water from the 5-liter jug into the 3-liter jug until the 3-liter jug is full.**
   - Since the 3-liter jug already has 2 liters, it can only take **1 more liter** to be full.
   - **5-liter jug:** 4 liters (5 - 1 = 4)
   - **3-liter jug:** 3 liters
Now, the **5-liter jug** contains exactly **4 liters** of water.
\[
\boxed{4 \text{ liters in the 5-liter jug}}
\]
[THINKING PROCESS (&lt;think&gt;)]
To measure exactly 4 liters using a 3-liter jug and a 5-liter jug, follow these steps:
1. **Fill the 5-liter jug completely.**
   - Now, the 5-liter jug has 5 liters, and the 3-liter jug is empty.
2. **Pour water from the 5-liter jug into the 3-liter jug until the 3-liter jug is full.**
   - This leaves 2 liters in the 5-liter jug.
3. **Empty the 3-liter jug.**
   - Now, the 5-liter jug has 2 liters, and the 3-liter jug is empty.
4. **Pour the remaining 2 liters from the 5-liter jug into the 3-liter jug.**
   - The 5-liter jug is now empty, and the 3-liter jug contains 2 liters.
5. **Fill the 5-liter jug completely again.**
   - The 5-liter jug now has 5 liters, and the 3-liter jug has 2 liters.
6. **Pour water from the 5-liter jug into the 3-liter jug until the 3-liter jug is full.**
   - Since the 3-liter jug already has 2 liters, it can only take 1 more liter.
   - This leaves exactly 4 liters in the 5-liter jug.
Now, you have exactly 4 liters in the 5-liter jug.</t>
        </is>
      </c>
      <c r="H27" s="10" t="n"/>
      <c r="I27" s="10" t="n"/>
      <c r="J27" s="10" t="n"/>
      <c r="K27" s="10" t="n"/>
      <c r="L27" s="10">
        <f>IF(COUNT(H27:K27)&gt;0, SUM(H27:K27), "")</f>
        <v/>
      </c>
      <c r="M27" s="10" t="inlineStr">
        <is>
          <t>2026-09-16 11:26:28</t>
        </is>
      </c>
      <c r="N27" s="10" t="n">
        <v>25.206</v>
      </c>
      <c r="O27" s="10" t="n">
        <v>21.076</v>
      </c>
      <c r="P27" s="10" t="n">
        <v>652</v>
      </c>
      <c r="Q27" s="10">
        <f>IF(AND(ISNUMBER(O27), O27&gt;0, ISNUMBER(P27)), ROUND(P27/O27, 2), IF(AND(ISNUMBER(N27), N27&gt;0, ISNUMBER(P27)), ROUND(P27/N27, 2), ""))</f>
        <v/>
      </c>
      <c r="R27" s="10" t="n">
        <v>4.53</v>
      </c>
      <c r="S27" s="10" t="inlineStr">
        <is>
          <t>Completed</t>
        </is>
      </c>
      <c r="T27" s="10" t="inlineStr">
        <is>
          <t>Pending</t>
        </is>
      </c>
      <c r="U27" s="9" t="inlineStr">
        <is>
          <t>data/responses/Q09_DSR1.json</t>
        </is>
      </c>
      <c r="V27" s="9" t="n"/>
    </row>
    <row r="28" ht="39.6" customHeight="1" s="18">
      <c r="A28" s="2" t="inlineStr">
        <is>
          <t>Q09_QWEN</t>
        </is>
      </c>
      <c r="B28" s="2" t="inlineStr">
        <is>
          <t>Q09</t>
        </is>
      </c>
      <c r="C28" s="3" t="inlineStr">
        <is>
          <t>qwen3:8b</t>
        </is>
      </c>
      <c r="D28" s="3" t="inlineStr">
        <is>
          <t>Logical reasoning</t>
        </is>
      </c>
      <c r="E28" s="2" t="inlineStr">
        <is>
          <t>Medium</t>
        </is>
      </c>
      <c r="F28" s="19" t="inlineStr">
        <is>
          <t>You have a 3-liter jug and a 5-liter jug, and an unlimited supply of water. How can you measure out exactly 4 liters using only these two jugs without any measuring scales? Detail every pour step.</t>
        </is>
      </c>
      <c r="G28" s="9" t="inlineStr">
        <is>
          <t>&lt;think&gt;
Okay, so I need to figure out how to measure exactly 4 liters using a 3-liter jug and a 5-liter jug. Let me think about this step by step. 
First, I know that these kinds of problems usually involve filling up one jug, pouring into the other, and keeping track of the amounts. Since the jugs are 3 and 5 liters, their capacities are different, so I need to find a way to get to 4 liters. Let me recall if there's a standard method for these kinds of problems. 
I remember that the key is to use the fact that the greatest common divisor (GCD) of 3 and 5 is 1, which means we can measure any integer amount up to the sum of the capacities, which is 8 liters. Since 4 is less than 8, it should be possible. 
Let me try to outline possible steps. Maybe start by filling the 5-liter jug and then transferring water to the 3-liter jug. Let me try that.
Step 1: Fill the 5-liter jug to the top. Now, 5-liter jug has 5 liters, 3-liter is empty.
Step 2: Pour water from the 5-liter into the 3-liter jug until the 3-liter is full. That would leave 5 - 3 = 2 liters in the 5-liter jug. Now, 3-liter is full (3 liters), 5-liter has 2 liters.
Step 3: Empty the 3-liter jug. Now, 3-liter is empty, 5-liter still has 2 liters.
Step 4: Transfer the 2 liters from the 5-liter jug to the 3-liter jug. Now, 3-liter has 2 liters, 5-liter is empty.
Step 5: Fill the 5-liter jug again. Now, 5-liter has 5 liters, 3-liter has 2 liters.
Step 6: Pour from the 5-liter into the 3-liter until the 3-liter is full. Since the 3-liter already has 2 liters, it can take 1 more liter. So, pouring 1 liter from the 5-liter jug leaves 5 - 1 = 4 liters in the 5-liter jug. 
Wait, that seems to work! Let me check again:
Starting with 5-liter full (5), 3-liter empty.
Pour into 3-liter: 5-liter has 2, 3-liter has 3.
Empty 3-liter: 5 has 2, 3 is empty.
Transfer 2 liters to 3: 5 is empty, 3 has 2.
Fill 5 again: 5 has 5, 3 has 2.
Pour from 5 to 3 until 3 is full. Since 3 can take 1 more liter, 5 loses 1 liter, so 5 has 4 liters left. 
Yes! So the 5-liter jug now has exactly 4 liters. That seems to work. Let me make sure I didn't skip any steps or make a mistake in the pouring.
Alternatively, maybe there's another way? Let me try another approach to confirm.
Another method: Fill the 3-liter jug first.
Step 1: Fill 3-liter jug. Now, 3 has 3, 5 is empty.
Step 2: Pour into 5-liter. Now, 5 has 3, 3 is empty.
Step 3: Fill 3-liter again. Now, 3 has 3, 5 has 3.
Step 4: Pour from 3 into 5. Since 5 can take 5 - 3 = 2 liters, so pour 2 liters from 3 into 5. Now, 5 is full (5 liters), and 3 has 3 - 2 = 1 liter left.
Step 5: Empty the 5-liter jug. Now, 5 is empty, 3 has 1 liter.
Step 6: Transfer the 1 liter from 3 to 5. Now, 5 has 1, 3 is empty.
Step 7: Fill 3-liter again. Now, 3 has 3, 5 has 1.
Step 8: Pour from 3 into 5. 5 can take 5 - 1 = 4 liters, but 3 only has 3 liters. So pour all 3 liters into 5, making 5 have 1 + 3 = 4 liters. 
So here, the 5-liter jug has 4 liters. So this is another way. So there are multiple methods. The question says to detail every pour step. Let me check which method is more straightforward. 
The first method I thought of was filling the 5-liter first, then transferring. The second method fills the 3-liter first. Both work
&lt;/think&gt;</t>
        </is>
      </c>
      <c r="H28" s="10" t="n"/>
      <c r="I28" s="10" t="n"/>
      <c r="J28" s="10" t="n"/>
      <c r="K28" s="10" t="n"/>
      <c r="L28" s="10">
        <f>IF(COUNT(H28:K28)&gt;0, SUM(H28:K28), "")</f>
        <v/>
      </c>
      <c r="M28" s="10" t="inlineStr">
        <is>
          <t>2026-09-16 11:33:56</t>
        </is>
      </c>
      <c r="N28" s="10" t="n">
        <v>41.717</v>
      </c>
      <c r="O28" s="10" t="n">
        <v>33.281</v>
      </c>
      <c r="P28" s="10" t="n">
        <v>1024</v>
      </c>
      <c r="Q28" s="10">
        <f>IF(AND(ISNUMBER(O28), O28&gt;0, ISNUMBER(P28)), ROUND(P28/O28, 2), IF(AND(ISNUMBER(N28), N28&gt;0, ISNUMBER(P28)), ROUND(P28/N28, 2), ""))</f>
        <v/>
      </c>
      <c r="R28" s="10" t="n">
        <v>5.35</v>
      </c>
      <c r="S28" s="10" t="inlineStr">
        <is>
          <t>Completed</t>
        </is>
      </c>
      <c r="T28" s="10" t="inlineStr">
        <is>
          <t>Pending</t>
        </is>
      </c>
      <c r="U28" s="9" t="inlineStr">
        <is>
          <t>data/responses/Q09_QWEN.json</t>
        </is>
      </c>
      <c r="V28" s="9" t="inlineStr">
        <is>
          <t>Reached max tokens limit (num_predict=1024)</t>
        </is>
      </c>
    </row>
    <row r="29" ht="39.6" customHeight="1" s="18">
      <c r="A29" s="2" t="inlineStr">
        <is>
          <t>Q10_PHI</t>
        </is>
      </c>
      <c r="B29" s="2" t="inlineStr">
        <is>
          <t>Q10</t>
        </is>
      </c>
      <c r="C29" s="3" t="inlineStr">
        <is>
          <t>phi4-mini-reasoning</t>
        </is>
      </c>
      <c r="D29" s="3" t="inlineStr">
        <is>
          <t>Logical reasoning</t>
        </is>
      </c>
      <c r="E29" s="2" t="inlineStr">
        <is>
          <t>Hard</t>
        </is>
      </c>
      <c r="F29" s="19" t="inlineStr">
        <is>
          <t>On an island, inhabitants are either Knights (who always tell the truth) or Knaves (who always lie). You meet two inhabitants, A and B. A says: 'At least one of us is a Knave.' Determine precisely what A is and what B is. Provide a rigorous proof by cases.</t>
        </is>
      </c>
      <c r="G29" s="9" t="inlineStr">
        <is>
          <t>&lt;think&gt;
Okay, let's see. So, there's this logic puzzle about knights and knaves. Knights always tell the truth, knaves always lie. We meet two inhabitants, A and B. A says, "At least one of us is a Knave." We need to figure out what A and B are. Hmm. Alright, let's break this down step by step.
First, let's recall the basics. Knights always tell the truth, so whatever a Knight says is true. Knaves always lie, so whatever a Knave says is false. So, if A is a Knight, then the statement "At least one of us is a Knave" must be true. Conversely, if A is a Knave, then the statement must be false.
Let's consider the two possibilities for A: either A is a Knight or a Knave. We'll analyze each case separately.
**Case 1: A is a Knight.**
If A is a Knight, then A's statement is true. The statement is "At least one of us is a Knave." Since A is a Knight, that means A is not a Knave. Therefore, for the statement to be true, B must be the Knave. Because if A is truthful, then at least one of them is a Knave, and since A isn't, B has to be.
So in this case, A is a Knight and B is a Knave. Let's check if this holds. If B is a Knave, then B's statements would be lies. But wait, does B make any statements? The problem only mentions A's statement. So maybe we don't need to consider B's statements here. The problem only gives us A's statement. Hmm. So maybe we don't have to check B's status beyond what's necessary from A's statement.
Wait, but in this case, if A is a Knight, then B must be a Knave. So that's straightforward. Let's hold that thought.
**Case 2: A is a Knave.**
If A is a Knave, then A's statement is a lie. The statement was "At least one of us is a Knave." Since A is lying, the opposite of this statement must be true. The opposite of "at least one is a Knave" is "neither of us is a Knave." In other words, both A and B are Knights.
But wait, if both A and B are Knights, then A's statement would be true. However, we assumed A is a Knave, which would mean A's statement is false. But if both are Knights, then A's statement is true, which contradicts A being a Knave. Therefore, this case leads to a contradiction.
Wait, let me clarify that. If A is a Knave, then the negation of "at least one is a Knave" is "neither is a Knave." So, "neither A nor B is a Knave." But if A is a Knave, then "neither A nor B is a Knave" is a lie, which would mean that the original statement "at least one is a Knave" is true. But since A is a Knave, the original statement is indeed true. However, since A is a Knave, A cannot make a true statement. Therefore, this leads to a contradiction. Therefore, Case 2 is impossible.
Therefore, only Case 1 is possible: A is a Knight and B is a Knave.
Wait, but let me check again. If A is a Knave, then the negation of "at least one is a Knave" is "neither is a Knave." So, if A is a Knave, then "neither is a Knave" would be false, which means "at least one is a Knave" is true. But since A is a Knave, the statement "at least one is a Knave" is true. However, since A is a Knave, they cannot make a true statement. Therefore, this is a contradiction. Therefore, A cannot be a Knave. Therefore, A must be a Knight, and hence B is a Knave.
Alternatively, maybe I should structure this with formal logic.
Let me denote:
Let K(x) mean x is a Knight (truth-teller).
Let K(a) mean A is a Knight.
Similarly, K(b) for B.
We know that either K(A) or K(B) is true for each individual, but they can be mixed.
A says: "At least one of us is a Knave." In logical terms, this is ¬K(A) ∨ ¬K(B). Because "at least one is a Knave" is equivalent to "either A is a Knave or B is a Knave."
So, A's statement is ¬K(A) ∨ ¬K(B).
Now, if A is a Knight (K(A)), then the statement must</t>
        </is>
      </c>
      <c r="H29" s="10" t="n"/>
      <c r="I29" s="10" t="n"/>
      <c r="J29" s="10" t="n"/>
      <c r="K29" s="10" t="n"/>
      <c r="L29" s="10">
        <f>IF(COUNT(H29:K29)&gt;0, SUM(H29:K29), "")</f>
        <v/>
      </c>
      <c r="M29" s="10" t="inlineStr">
        <is>
          <t>2026-09-16 11:20:03</t>
        </is>
      </c>
      <c r="N29" s="10" t="n">
        <v>32.633</v>
      </c>
      <c r="O29" s="10" t="n">
        <v>25.694</v>
      </c>
      <c r="P29" s="10" t="n">
        <v>1024</v>
      </c>
      <c r="Q29" s="10">
        <f>IF(AND(ISNUMBER(O29), O29&gt;0, ISNUMBER(P29)), ROUND(P29/O29, 2), IF(AND(ISNUMBER(N29), N29&gt;0, ISNUMBER(P29)), ROUND(P29/N29, 2), ""))</f>
        <v/>
      </c>
      <c r="R29" s="10" t="n">
        <v>3.64</v>
      </c>
      <c r="S29" s="10" t="inlineStr">
        <is>
          <t>Completed</t>
        </is>
      </c>
      <c r="T29" s="10" t="inlineStr">
        <is>
          <t>Pending</t>
        </is>
      </c>
      <c r="U29" s="9" t="inlineStr">
        <is>
          <t>data/responses/Q10_PHI.json</t>
        </is>
      </c>
      <c r="V29" s="9" t="inlineStr">
        <is>
          <t>Reached max tokens limit (num_predict=1024)</t>
        </is>
      </c>
    </row>
    <row r="30" ht="39.6" customHeight="1" s="18">
      <c r="A30" s="2" t="inlineStr">
        <is>
          <t>Q10_DSR1</t>
        </is>
      </c>
      <c r="B30" s="2" t="inlineStr">
        <is>
          <t>Q10</t>
        </is>
      </c>
      <c r="C30" s="3" t="inlineStr">
        <is>
          <t>deepseek-r1:7b</t>
        </is>
      </c>
      <c r="D30" s="3" t="inlineStr">
        <is>
          <t>Logical reasoning</t>
        </is>
      </c>
      <c r="E30" s="2" t="inlineStr">
        <is>
          <t>Hard</t>
        </is>
      </c>
      <c r="F30" s="19" t="inlineStr">
        <is>
          <t>On an island, inhabitants are either Knights (who always tell the truth) or Knaves (who always lie). You meet two inhabitants, A and B. A says: 'At least one of us is a Knave.' Determine precisely what A is and what B is. Provide a rigorous proof by cases.</t>
        </is>
      </c>
      <c r="G30" s="9" t="inlineStr">
        <is>
          <t>&lt;think&gt;
Okay, so I have this logic puzzle here about two inhabitants, A and B, on an island where everyone is either a Knight who always tells the truth or a Knave who always lies. A says, "At least one of us is a Knave." I need to figure out whether A is a Knight or a Knave, and the same for B. Hmm, let me think through this step by step.
First, let me recall that Knights always tell the truth, so whatever they say must be true. Knaves always lie, so whatever they say must be false. So, if A is a Knight, then A's statement must be true. If A is a Knave, then A's statement must be false.
A says, "At least one of us is a Knave." So, let's break this down. The statement "at least one of us is a Knave" can be translated into logical terms as "A is a Knave or B is a Knave." In symbols, that would be A ∨ B, where A and B represent whether A and B are Knaves, respectively. Wait, actually, hold on. If A is a Knight, then A tells the truth, so "at least one of us is a Knave" must be true. If A is a Knave, then the statement is false, so "at least one of us is a Knave" is false, meaning neither A nor B is a Knave, so both would be Knights.
But wait, if both are Knights, then A's statement would be true, which is consistent because A is a Knight. But hold on, if A is a Knight, then A's statement is true, so at least one of them is a Knave. But if A is a Knight, then B must be the Knave. So, that would mean B is a Knave.
Alternatively, if A is a Knave, then A's statement is false. So, the statement "at least one of us is a Knave" is false. If that's the case, then the opposite must be true, which is "neither of us is a Knave," meaning both A and B are Knights. But if both are Knights, then A's statement would be true, which contradicts the assumption that A is a Knave. So, that can't be the case.
Wait, so if A is a Knave, then A's statement is false, which would mean that neither A nor B is a Knave, so both are Knights. But if both are Knights, then A's statement is true, which can't be because A is supposed to be a Knave. So, that leads to a contradiction. Therefore, A cannot be a Knave. Therefore, A must be a Knight, and since A is a Knight, A's statement is true, so at least one of them is a Knave. Since A is a Knight, that means B must be the Knave.
Let me write this out in a more structured way to make sure I haven't missed anything.
Case 1: A is a Knight.
- If A is a Knight, then A's statement is true.
- A's statement: "At least one of us is a Knave." So, this is true.
- Since A is a Knight, the only way for the statement to be true is if B is a Knave.
- Therefore, in this case, A is a Knight, and B is a Knave.
Case 2: A is a Knave.
- If A is a Knave, then A's statement is false.
- A's statement: "At least one of us is a Knave." So, the negation is "Neither of us is a Knave," meaning both A and B are Knights.
- But if both A and B are Knights, then A's statement would be true, which contradicts the assumption that A is a Knave.
- Therefore, this case leads to a contradiction, so it cannot be true.
Since Case 2 leads to a contradiction, it must be false. Therefore, Case 1 must be true. So, A is a Knight, and B is a Knave.
Wait, just to double-check, let me consider the possibilities:
1. A is a Knight, B is a Knight.
   - A's statement: "At least one of us is a Knave." This would be false because both are Knights. But A is a Knight, so he must tell the truth. Contradiction.
2. A is a Knight, B is a Knave.
   - A's statement: "At least one of us is a Knave." This is true because B is a Knave. So, consistent.
3. A is a Knave, B is a Knight.
   - A's statement: "At least one of us is a Knave." Since A is a Knave, the
&lt;/think&gt;</t>
        </is>
      </c>
      <c r="H30" s="10" t="n"/>
      <c r="I30" s="10" t="n"/>
      <c r="J30" s="10" t="n"/>
      <c r="K30" s="10" t="n"/>
      <c r="L30" s="10">
        <f>IF(COUNT(H30:K30)&gt;0, SUM(H30:K30), "")</f>
        <v/>
      </c>
      <c r="M30" s="10" t="inlineStr">
        <is>
          <t>2026-09-16 11:27:36</t>
        </is>
      </c>
      <c r="N30" s="10" t="n">
        <v>35.986</v>
      </c>
      <c r="O30" s="10" t="n">
        <v>31.789</v>
      </c>
      <c r="P30" s="10" t="n">
        <v>1024</v>
      </c>
      <c r="Q30" s="10">
        <f>IF(AND(ISNUMBER(O30), O30&gt;0, ISNUMBER(P30)), ROUND(P30/O30, 2), IF(AND(ISNUMBER(N30), N30&gt;0, ISNUMBER(P30)), ROUND(P30/N30, 2), ""))</f>
        <v/>
      </c>
      <c r="R30" s="10" t="n">
        <v>4.54</v>
      </c>
      <c r="S30" s="10" t="inlineStr">
        <is>
          <t>Completed</t>
        </is>
      </c>
      <c r="T30" s="10" t="inlineStr">
        <is>
          <t>Pending</t>
        </is>
      </c>
      <c r="U30" s="9" t="inlineStr">
        <is>
          <t>data/responses/Q10_DSR1.json</t>
        </is>
      </c>
      <c r="V30" s="9" t="inlineStr">
        <is>
          <t>Reached max tokens limit (num_predict=1024)</t>
        </is>
      </c>
    </row>
    <row r="31" ht="39.6" customHeight="1" s="18">
      <c r="A31" s="2" t="inlineStr">
        <is>
          <t>Q10_QWEN</t>
        </is>
      </c>
      <c r="B31" s="2" t="inlineStr">
        <is>
          <t>Q10</t>
        </is>
      </c>
      <c r="C31" s="3" t="inlineStr">
        <is>
          <t>qwen3:8b</t>
        </is>
      </c>
      <c r="D31" s="3" t="inlineStr">
        <is>
          <t>Logical reasoning</t>
        </is>
      </c>
      <c r="E31" s="2" t="inlineStr">
        <is>
          <t>Hard</t>
        </is>
      </c>
      <c r="F31" s="19" t="inlineStr">
        <is>
          <t>On an island, inhabitants are either Knights (who always tell the truth) or Knaves (who always lie). You meet two inhabitants, A and B. A says: 'At least one of us is a Knave.' Determine precisely what A is and what B is. Provide a rigorous proof by cases.</t>
        </is>
      </c>
      <c r="G31" s="9" t="inlineStr">
        <is>
          <t>&lt;think&gt;
Okay, so I need to figure out whether A and B are Knights or Knaves based on A's statement. Let me start by recalling that Knights always tell the truth, and Knaves always lie. The statement A makes is: "At least one of us is a Knave." 
First, let me consider the possibilities. There are two inhabitants, A and B. Each can be either a Knight or a Knave. So there are four possible combinations:
1. A is a Knight and B is a Knight.
2. A is a Knight and B is a Knave.
3. A is a Knave and B is a Knight.
4. A is a Knave and B is a Knave.
Now, I need to check which of these scenarios are consistent with A's statement. Let me go through each case one by one.
**Case 1: Both A and B are Knights.**
If A is a Knight, then A's statement must be true. The statement is "At least one of us is a Knave." But in this case, both are Knights, so there are no Knaves. Therefore, the statement "At least one of us is a Knave" would be false. However, since A is supposed to be a Knight (truth-teller), this leads to a contradiction. Therefore, this case is impossible.
**Case 2: A is a Knight and B is a Knave.**
Since A is a Knight, A's statement must be true. The statement is "At least one of us is a Knave." In this case, B is a Knave, so the statement is true. Therefore, this case is consistent. So this is a possible scenario.
**Case 3: A is a Knave and B is a Knight.**
Since A is a Knave, A's statement must be false. The statement is "At least one of us is a Knave." If this statement is false, then the negation must be true. The negation of "At least one of us is a Knave" is "Neither A nor B is a Knave," which means both are Knights. However, in this case, we assumed A is a Knave and B is a Knight. Therefore, the negation would be false because A is a Knave. Wait, this seems contradictory. Let me check again.
Original statement: "At least one of us is a Knave." If A is lying, then the actual truth is that "At least one of us is a Knave" is false, which means "Neither A nor B is a Knave," i.e., both are Knights. But in this case, we have A as a Knave and B as a Knight. Therefore, the actual truth is that A is a Knave, so the negation of the statement is false. Therefore, there's a contradiction here. Therefore, this case cannot hold. Wait, maybe I need to think more carefully.
Let me formalize this. Let me denote:
Let S be the statement: "At least one of us is a Knave."
If A is a Knave, then S is false. Therefore, the negation of S is true. The negation of "At least one is a Knave" is "Neither A nor B is a Knave," which is equivalent to "Both A and B are Knights." However, in this case, we are assuming A is a Knave and B is a Knight. Therefore, the negation would be false because A is a Knave. Therefore, there's a contradiction here. Therefore, Case 3 is impossible.
**Case 4: Both A and B are Knaves.**
If A is a Knave, then A's statement is false. The statement is "At least one of us is a Knave." If this is false, then the negation is true: "Neither A nor B is a Knave," meaning both are Knights. But in this case, both are Knaves, so the negation is false. Therefore, this leads to a contradiction. Therefore, Case 4 is impossible.
So summarizing:
- Case 1: Contradiction.
- Case 2: Possible.
- Case 3: Contradiction.
- Case 4: Contradiction.
Therefore, the only possible case is Case 2: A is a Knight and B is a Knave.
Wait, but let me check again. In Case 3, if A is a Knave and B is a Knight, then A's statement is "At least one of us is a Knave." Since A is lying, the truth is that "At least one of us is a Knave" is false, which would mean that both are Knights. But in reality, A is a Knave and B is a Knight, so there is at least one Knave (A). Therefore, the statement "At least one of us
&lt;/think&gt;</t>
        </is>
      </c>
      <c r="H31" s="10" t="n"/>
      <c r="I31" s="10" t="n"/>
      <c r="J31" s="10" t="n"/>
      <c r="K31" s="10" t="n"/>
      <c r="L31" s="10">
        <f>IF(COUNT(H31:K31)&gt;0, SUM(H31:K31), "")</f>
        <v/>
      </c>
      <c r="M31" s="10" t="inlineStr">
        <is>
          <t>2026-09-16 11:35:11</t>
        </is>
      </c>
      <c r="N31" s="10" t="n">
        <v>41.254</v>
      </c>
      <c r="O31" s="10" t="n">
        <v>33.156</v>
      </c>
      <c r="P31" s="10" t="n">
        <v>1024</v>
      </c>
      <c r="Q31" s="10">
        <f>IF(AND(ISNUMBER(O31), O31&gt;0, ISNUMBER(P31)), ROUND(P31/O31, 2), IF(AND(ISNUMBER(N31), N31&gt;0, ISNUMBER(P31)), ROUND(P31/N31, 2), ""))</f>
        <v/>
      </c>
      <c r="R31" s="10" t="n">
        <v>5.35</v>
      </c>
      <c r="S31" s="10" t="inlineStr">
        <is>
          <t>Completed</t>
        </is>
      </c>
      <c r="T31" s="10" t="inlineStr">
        <is>
          <t>Pending</t>
        </is>
      </c>
      <c r="U31" s="9" t="inlineStr">
        <is>
          <t>data/responses/Q10_QWEN.json</t>
        </is>
      </c>
      <c r="V31" s="9" t="inlineStr">
        <is>
          <t>Reached max tokens limit (num_predict=1024)</t>
        </is>
      </c>
    </row>
    <row r="32" ht="39.6" customHeight="1" s="18">
      <c r="A32" s="2" t="inlineStr">
        <is>
          <t>Q11_PHI</t>
        </is>
      </c>
      <c r="B32" s="2" t="inlineStr">
        <is>
          <t>Q11</t>
        </is>
      </c>
      <c r="C32" s="3" t="inlineStr">
        <is>
          <t>phi4-mini-reasoning</t>
        </is>
      </c>
      <c r="D32" s="3" t="inlineStr">
        <is>
          <t>Programming reasoning</t>
        </is>
      </c>
      <c r="E32" s="2" t="inlineStr">
        <is>
          <t>Easy</t>
        </is>
      </c>
      <c r="F32" s="19" t="inlineStr">
        <is>
          <t>Write a clean Python function `is_palindrome(s: str) -&gt; bool` that checks if a string is a palindrome, ignoring non-alphanumeric characters and case. Provide a brief trace of why it works.</t>
        </is>
      </c>
      <c r="G32" s="15" t="inlineStr">
        <is>
          <t>[FINAL ANSWER]
To solve this problem, we need to determine if a given string is a palindrome while ignoring non-alphanumeric characters and case sensitivity. A palindrome is a sequence that reads the same forward and backward.
### Approach
1. **Preprocess the String**: Remove all non-alphanumeric characters from the string. This is done by iterating through each character and including only those that are alphanumeric (using the `isalnum()` method).
2. **Normalize Case**: Convert the cleaned string to lowercase to ensure case insensitivity.
3. **Check Palindrome**: Compare the cleaned string with its reverse to determine if it is a palindrome.
### Solution Code
[THINKING PROCESS (&lt;think&gt;)]
Okay, I need to write a Python function called is_palindrome that checks if a string is a palindrome. The requirements are to ignore non-alphanumeric characters and case. Let's think about how to approach this.
First, what's a palindrome? A palindrome is a word, phrase, or sequence that reads the same forward and backward. But here, we have to ignore things that aren't alphanumeric. So symbols, spaces, etc., don't count. Also, case shouldn't matter, so 'Alice' and 'alice' should be considered the same.
So the steps I need to take are: process the input string to remove non-alphanumeric characters, then check if the resulting string is a palindrome.
Wait, how do I process the string? Maybe I can first filter out any characters that are not alphanumeric. The isalnum() method in Python returns True if a character is alphanumeric. So for each character in the string, I check if it is alnum. If yes, keep it; otherwise, remove it.
Then, after filtering, I need to compare the cleaned string to its reverse. But also, the comparison should be case-insensitive. So perhaps I should convert the entire cleaned string to lowercase (or uppercase) before comparing.
So the plan is:
1. Preprocess the input string s by removing all characters that are not alphanumeric.
2. Convert the resulting string to lowercase (or uppercase).
3. Check if this processed string is equal to its reverse.
Wait, but how to preprocess. For example, for s = "A man, a plan, tranplanoitna a plan, a man-", the alphanumeric characters would be "A", "m", "an", "plann", "tranplanoitna", etc. So after filtering, the string becomes "amanaplanatranplanatanam" (maybe?), and then converting to lowercase would make it "amanaplanatranplanatanam", which reversed is the same.
So the steps in code:
- Create a new string by iterating over each character in s, appending only if the character is alnum.
- Then, convert this new string to lowercase.
- Then check if this string equals its reverse.
So the function would look like:
def is_palindrome(s: str) -&gt; bool:
    cleaned = ''.join([c for c in s if c.isalnum()])
    cleaned = cleaned.lower()
    return cleaned == cleaned[::-1]
Wait, but why do we need to convert to lowercase? Because the original case might vary. For example, "NaNa" should be a palindrome. But if we lower it, it becomes "nana", which is a palindrome.
Yes. So converting to lowercase ensures case insensitivity.
Testing some examples:
Test case 1: "A man, a plan, a canal: Panama" → cleaned becomes "amanaplanacanalpanama". Lowercase, then reversed is same. So returns True.
Test case 2: "race a car" → cleaned is "raceacar". Lowercase is "raceacar". Reverse is "racaecar" → no match. So returns False.
Another test case: "ab@cd!" → cleaned is "bcd", which reversed is "dcb" → not a palindrome.
What about empty string? If s is empty, then cleaned is empty. So returns True. But according to the problem statement, probably s is a non-empty string. But the code handles it.
What about strings with only non-alnum characters? Like "   ", then cleaned is empty → returns True. But maybe the problem expects that such cases are considered palindromes. The problem statement says to ignore non-alphanumeric, so if the string has no alnum characters, it's a palindrome. So code handles that.
Now, the code seems to handle all cases. The function first removes non-alnum characters, converts to lowercase, then checks if the string is equal to its reverse.
The time complexity: For a string of length n, processing the string once (O(n)) to build the cleaned string. Then comparing to its reverse (O(n)). So overall O(n) time, which is efficient.
Space complexity: O(n) for the cleaned string. Which is acceptable.
So this should work. Let me write the code accordingly.</t>
        </is>
      </c>
      <c r="H32" s="16" t="n"/>
      <c r="I32" s="16" t="n"/>
      <c r="J32" s="16" t="n"/>
      <c r="K32" s="16" t="n"/>
      <c r="L32" s="16">
        <f>IF(COUNT(H32:K32)&gt;0, SUM(H32:K32), "")</f>
        <v/>
      </c>
      <c r="M32" s="16" t="inlineStr">
        <is>
          <t>2026-09-16 12:15:40</t>
        </is>
      </c>
      <c r="N32" s="16" t="n">
        <v>34.55</v>
      </c>
      <c r="O32" s="16" t="n">
        <v>27.591</v>
      </c>
      <c r="P32" s="16" t="n">
        <v>1024</v>
      </c>
      <c r="Q32" s="16">
        <f>IF(AND(ISNUMBER(O32), O32&gt;0, ISNUMBER(P32)), ROUND(P32/O32, 2), IF(AND(ISNUMBER(N32), N32&gt;0, ISNUMBER(P32)), ROUND(P32/N32, 2), ""))</f>
        <v/>
      </c>
      <c r="R32" s="16" t="n">
        <v>3.64</v>
      </c>
      <c r="S32" s="16" t="inlineStr">
        <is>
          <t>Completed</t>
        </is>
      </c>
      <c r="T32" s="16" t="inlineStr">
        <is>
          <t>Pending</t>
        </is>
      </c>
      <c r="U32" s="15" t="inlineStr">
        <is>
          <t>data/responses/Q11_PHI.json</t>
        </is>
      </c>
      <c r="V32" s="15" t="inlineStr">
        <is>
          <t>Reached max tokens limit (num_predict=1024)</t>
        </is>
      </c>
    </row>
    <row r="33" ht="39.6" customHeight="1" s="18">
      <c r="A33" s="2" t="inlineStr">
        <is>
          <t>Q11_DSR1</t>
        </is>
      </c>
      <c r="B33" s="2" t="inlineStr">
        <is>
          <t>Q11</t>
        </is>
      </c>
      <c r="C33" s="3" t="inlineStr">
        <is>
          <t>deepseek-r1:7b</t>
        </is>
      </c>
      <c r="D33" s="3" t="inlineStr">
        <is>
          <t>Programming reasoning</t>
        </is>
      </c>
      <c r="E33" s="2" t="inlineStr">
        <is>
          <t>Easy</t>
        </is>
      </c>
      <c r="F33" s="19" t="inlineStr">
        <is>
          <t>Write a clean Python function `is_palindrome(s: str) -&gt; bool` that checks if a string is a palindrome, ignoring non-alphanumeric characters and case. Provide a brief trace of why it works.</t>
        </is>
      </c>
      <c r="G33" s="15" t="inlineStr">
        <is>
          <t>&lt;think&gt;
Okay, I need to write a Python function called is_palindrome that checks if a string is a palindrome, but ignoring non-alphanumeric characters and case. Hmm, let's think about how to approach this.
First, what's a palindrome? It's a string that reads the same backward as forward. But I need to ignore non-alphanumeric characters and case. So, for example, "A man, a plan, a canal: Panama" should return True because when you remove the non-alphanumeric characters and make everything lowercase, it's a palindrome.
So, the steps I need to take are:
1. Preprocess the string: remove all non-alphanumeric characters and convert to lowercase.
2. Check if the resulting string is a palindrome.
How do I preprocess the string? I can loop through each character in the string and check if it's alphanumeric. Alternatively, I can use the isalnum() method, which returns True if the character is alphanumeric. But wait, I also need to ignore case, so converting to lowercase first might be easier.
Wait, actually, I can create a new string that includes only the alphanumeric characters, converted to lowercase. So, for each character in s, if char.isalnum(), then include char.lower() in the new string.
Yes, that makes sense. So, I can do something like:
filtered = [c.lower() for c in s if c.isalnum()]
Then, join this list into a string: filtered_str = ''.join(filtered)
Once I have this filtered string, I need to check if it's a palindrome. How to do that? Well, a string is a palindrome if it equals its reverse. So, I can compare filtered_str to filtered_str[::-1].
Alternatively, I can check if the string is equal to its reversed version.
Putting it all together, the function would look like:
def is_palindrome(s: str) -&gt; bool:
    filtered = [c.lower() for c in s if c.isalnum()]
    filtered_str = ''.join(filtered)
    return filtered_str == filtered_str[::-1]
Wait, but what about empty strings? If the string has no alphanumeric characters, then filtered_str would be empty. An empty string is technically a palindrome because it reads the same backward and forward. So, the function would return True, which is correct.
Let me test this logic with some examples.
Example 1: s = "A man, a plan, a canal: Panama"
Filtered string would be "amanaplanacanalpanama", which is a palindrome. So, function returns True.
Example 2: s = "race a car"
Filtered string is "racecar", which is a palindrome. So, returns True.
Example 3: s = "No 'x' in Nixon"
Filtered string is "noinxinxion", which is not a palindrome. Wait, no, let me see: "No'x'in Nixon" becomes "noinxnnxion"? Wait, maybe I should think again.
Wait, "No 'x' in Nixon" becomes "noxinxion" when filtered. Wait, no, let's process each character:
N -&gt; n
o -&gt; o
' -&gt; ignored
x -&gt; x
' -&gt; ignored
i -&gt; i
n -&gt; n
 ' -&gt; ignored
N -&gt; n
i -&gt; i
x -&gt; x
o -&gt; o
n -&gt; n
So, the filtered string is "noxnnxion". Wait, no, let me write it step by step:
Original string: "No 'x' in Nixon"
Breaking it down:
N -&gt; n
o -&gt; o
' -&gt; skip
x -&gt; x
' -&gt; skip
i -&gt; i
n -&gt; n
 ' -&gt; skip
N -&gt; n
i -&gt; i
x -&gt; x
o -&gt; o
n -&gt; n
So, the filtered string is "noxnnxion". Wait, that's 9 characters. Let's see: n o x n n x i o n. Wait, no, that's 9 letters. Wait, maybe I made a mistake.
Wait, "No 'x' in Nixon" is:
N o ' x ' i n ' N i x o n
So, the filtered string is N o x i n N i x o n, converted to lowercase: n o x i n n i x o n.
Wait, that's 11 characters: n o x i n n i x o n.
Wait, no, let's count:
N o ' x ' i n ' N i x o n
So, the characters are N, o, x, i, n, N, i, x, o, n.
Wait, that's 10 characters. So, the filtered string is "noxni xion"? Wait, no, it's "noxniNixion"? Wait, no, let's process each character:
1. N -&gt; n
2. o -&gt; o
&lt;/think&gt;</t>
        </is>
      </c>
      <c r="H33" s="16" t="n"/>
      <c r="I33" s="16" t="n"/>
      <c r="J33" s="16" t="n"/>
      <c r="K33" s="16" t="n"/>
      <c r="L33" s="16">
        <f>IF(COUNT(H33:K33)&gt;0, SUM(H33:K33), "")</f>
        <v/>
      </c>
      <c r="M33" s="16" t="inlineStr">
        <is>
          <t>2026-09-16 12:23:45</t>
        </is>
      </c>
      <c r="N33" s="16" t="n">
        <v>40.8</v>
      </c>
      <c r="O33" s="16" t="n">
        <v>32.723</v>
      </c>
      <c r="P33" s="16" t="n">
        <v>1024</v>
      </c>
      <c r="Q33" s="16">
        <f>IF(AND(ISNUMBER(O33), O33&gt;0, ISNUMBER(P33)), ROUND(P33/O33, 2), IF(AND(ISNUMBER(N33), N33&gt;0, ISNUMBER(P33)), ROUND(P33/N33, 2), ""))</f>
        <v/>
      </c>
      <c r="R33" s="16" t="n">
        <v>4.53</v>
      </c>
      <c r="S33" s="16" t="inlineStr">
        <is>
          <t>Completed</t>
        </is>
      </c>
      <c r="T33" s="16" t="inlineStr">
        <is>
          <t>Pending</t>
        </is>
      </c>
      <c r="U33" s="15" t="inlineStr">
        <is>
          <t>data/responses/Q11_DSR1.json</t>
        </is>
      </c>
      <c r="V33" s="15" t="inlineStr">
        <is>
          <t>Reached max tokens limit (num_predict=1024)</t>
        </is>
      </c>
    </row>
    <row r="34" ht="39.6" customHeight="1" s="18">
      <c r="A34" s="2" t="inlineStr">
        <is>
          <t>Q11_QWEN</t>
        </is>
      </c>
      <c r="B34" s="2" t="inlineStr">
        <is>
          <t>Q11</t>
        </is>
      </c>
      <c r="C34" s="3" t="inlineStr">
        <is>
          <t>qwen3:8b</t>
        </is>
      </c>
      <c r="D34" s="3" t="inlineStr">
        <is>
          <t>Programming reasoning</t>
        </is>
      </c>
      <c r="E34" s="2" t="inlineStr">
        <is>
          <t>Easy</t>
        </is>
      </c>
      <c r="F34" s="19" t="inlineStr">
        <is>
          <t>Write a clean Python function `is_palindrome(s: str) -&gt; bool` that checks if a string is a palindrome, ignoring non-alphanumeric characters and case. Provide a brief trace of why it works.</t>
        </is>
      </c>
      <c r="G34" s="15" t="inlineStr">
        <is>
          <t>&lt;think&gt;
Okay, I need to write a Python function called is_palindrome that checks if a string is a palindrome, ignoring non-alphanumeric characters and case. Let me think about how to approach this.
First, what's a palindrome? It's a string that reads the same forwards and backwards. But the problem says to ignore non-alphanumeric characters and case. So, I need to process the string to remove any characters that aren't letters or numbers, and then convert everything to the same case, like lowercase.
So the steps I need to take are:
1. Preprocess the input string. Remove all non-alphanumeric characters. How do I do that? Maybe using a filter or a list comprehension. Also, convert all characters to lowercase (or uppercase) to make the comparison case-insensitive.
Wait, for example, "A man, a plan, a canal: Panama" should be considered a palindrome. After removing non-alphanumeric, it becomes "AmanaplanacanalPanama", then converted to lowercase: "amanaplanacanalpanama", which is the same forwards and backwards.
So the plan is:
- Process the string to keep only alphanumeric characters and convert to lowercase.
- Then check if this processed string is equal to its reverse.
How to process the string? Let's think. For each character in the string, check if it is alphanumeric. In Python, there's the isalnum() method. But wait, that's for checking if a single character is alphanumeric. So, perhaps we can loop through each character in the string, and collect those that are alphanumeric, then convert them to lowercase.
Alternatively, we can use a list comprehension to filter and convert. For example:
processed = [c.lower() for c in s if c.isalnum()]
Wait, but the order is important. For each character in s, check if it's alphanumeric. If yes, convert to lowercase and include in the list. Then, the processed string is the concatenation of these characters.
Once we have that processed string, we can check if it's equal to its reverse. So, for example, processed == processed[::-1].
So the function would be:
def is_palindrome(s: str) -&gt; bool:
    processed = [c.lower() for c in s if c.isalnum()]
    return processed == processed[::-1]
Wait, but what about the case where the original string has non-alphanumeric characters? For example, "race car" becomes "racecar" which is a palindrome. So this approach should work.
Let me test some examples.
Test case 1: "A man, a plan, a canal: Panama" → processed becomes "amanaplanacanalpanama", which reversed is the same. So returns True.
Test case 2: "race car" → processed is "racecar", which is a palindrome. True.
Test case 3: "abc" → processed is "abc", reversed is "cba" → not equal. So returns False.
Another test case: "A" → processed is ["a"], reversed is same. Returns True.
What about empty string? Well, the function would return True because the processed list is empty, and empty list reversed is same. But according to the problem statement, maybe the input is non-empty? Well, the function should handle it.
But wait, the problem says "checks if a string is a palindrome". So empty string is considered a palindrome? Well, technically yes, because it reads same forwards and backwards. But maybe the problem expects that. The function as written would return True for empty string.
But the problem says "string is a palindrome", so perhaps the function is correct.
Now, what about characters that are not letters or numbers? Like symbols. The code filters them out.
So the code seems correct.
But let me think about the processing step. For example, the code uses list comprehension. So for each character in s, check if it's alphanumeric. If yes, convert to lowercase and add to the list. Then compare the list to its reverse.
Yes. So the code should work.
Now, the trace: Why does this work?
Because the code first filters out all non-alphanumeric characters, ensuring that only letters and numbers are considered. Then, it converts all characters to lowercase (or uppercase) to make the comparison case-insensitive. By comparing the processed string to its reverse, it checks if the string reads the same forwards and backwards, which is the definition of a palindrome.
So the function works by preprocessing the input string to remove non-alphanumeric characters and normalize case, then checking for palindrome properties by comparing the processed string with its reverse.
I think that's correct. Let me check for possible errors.
Wait, what about Unicode characters? For example, characters that are alphanumeric but not in the ASCII range. The isalnum() method in Python handles Unicode characters. For example, 'é' is considered alphanumeric in Python 3. So, if the input has such characters, they would be included. But
&lt;/think&gt;</t>
        </is>
      </c>
      <c r="H34" s="16" t="n"/>
      <c r="I34" s="16" t="n"/>
      <c r="J34" s="16" t="n"/>
      <c r="K34" s="16" t="n"/>
      <c r="L34" s="16">
        <f>IF(COUNT(H34:K34)&gt;0, SUM(H34:K34), "")</f>
        <v/>
      </c>
      <c r="M34" s="16" t="inlineStr">
        <is>
          <t>2026-09-16 12:29:41</t>
        </is>
      </c>
      <c r="N34" s="16" t="n">
        <v>42.369</v>
      </c>
      <c r="O34" s="16" t="n">
        <v>33.698</v>
      </c>
      <c r="P34" s="16" t="n">
        <v>1024</v>
      </c>
      <c r="Q34" s="16">
        <f>IF(AND(ISNUMBER(O34), O34&gt;0, ISNUMBER(P34)), ROUND(P34/O34, 2), IF(AND(ISNUMBER(N34), N34&gt;0, ISNUMBER(P34)), ROUND(P34/N34, 2), ""))</f>
        <v/>
      </c>
      <c r="R34" s="16" t="n">
        <v>5.35</v>
      </c>
      <c r="S34" s="16" t="inlineStr">
        <is>
          <t>Completed</t>
        </is>
      </c>
      <c r="T34" s="16" t="inlineStr">
        <is>
          <t>Pending</t>
        </is>
      </c>
      <c r="U34" s="15" t="inlineStr">
        <is>
          <t>data/responses/Q11_QWEN.json</t>
        </is>
      </c>
      <c r="V34" s="15" t="inlineStr">
        <is>
          <t>Reached max tokens limit (num_predict=1024)</t>
        </is>
      </c>
    </row>
    <row r="35" ht="39.6" customHeight="1" s="18">
      <c r="A35" s="2" t="inlineStr">
        <is>
          <t>Q12_PHI</t>
        </is>
      </c>
      <c r="B35" s="2" t="inlineStr">
        <is>
          <t>Q12</t>
        </is>
      </c>
      <c r="C35" s="3" t="inlineStr">
        <is>
          <t>phi4-mini-reasoning</t>
        </is>
      </c>
      <c r="D35" s="3" t="inlineStr">
        <is>
          <t>Programming reasoning</t>
        </is>
      </c>
      <c r="E35" s="2" t="inlineStr">
        <is>
          <t>Easy</t>
        </is>
      </c>
      <c r="F35" s="19" t="inlineStr">
        <is>
          <t>Trace the execution of this Python code snippet and determine the exact printed output:
x = [1, 2, 3]
y = x
y.append(4)
print(len(x), x == y)
Explain why `len(x)` is affected.</t>
        </is>
      </c>
      <c r="G35" s="15" t="inlineStr">
        <is>
          <t>&lt;think&gt;
Okay, let's see. I need to trace this Python code and figure out what the printed output is. The code is:
x = [1, 2, 3]
y = x
y.append(4)
print(len(x), x == y)
Hmm, first, let's go step by step. So, initially, x is a list containing 1, 2, 3. Then y is assigned to x. So at this point, y and x refer to the same list. Then, y.append(4) is called. The append method adds an element to the end of the list. So y, which is the same as x, now has 4 added. So y becomes [1, 2, 3, 4].
Now, the print statement has two arguments: len(x) and x == y. Let's break that down. The first part is len(x), which would be the length of the original x list. The original x has 3 elements, so len(x) is 3. 
The second part is x == y. At this point, after y was modified, what's the value of x and y? Wait, x was never changed. x is still [1, 2, 3], and y is [1, 2, 3, 4]. So comparing x and y with == would be checking if two lists with different lengths are equal. In Python, two lists are equal only if they have the same elements in the same order. Since one has an extra 4 and the other doesn't, x == y should be False. So the second part is False.
Therefore, the print statement outputs (3, False). The output is printed as these two values separated by a comma, which is the tuple representation. So the exact printed output would be (3, False).
Now, the question also asks why len(x) is affected. Wait, len(x) returns the length of x, which is 3. But y was modified after x. However, x was not changed. So x remains the original list. Therefore, len(x) is still 3. The len(x) here is not affected because x hasn't been modified. The append was done to y, which is a separate variable but initially the same object as x. But since x wasn't reassigned, len(x) always refers to the original list's length. So even though y changed, x itself didn't, so len(x) remains the same. Therefore, the reason len(x) is not affected is that x was not altered; only y was modified. Since x and y are different variables pointing to the same list initially, but modifying y (like appending) doesn't change x's identity. Hence, len(x) stays 3.
&lt;/answer&gt;The code first initializes `x` as `[1, 2, 3]` and `y` as a reference to the same list. When `y.append(4)` is called, `y` becomes `[1, 2, 3, 4]`, while `x` remains unchanged. 
When the code executes `print(len(x), x == y)`:
1. `len(x)` evaluates to `3` because `x` still contains three elements.
2. `x == y` compares the two lists. Since `x` is `[1, 2, 3]` and `y` is `[1, 2, 3, 4]`, the comparison returns `False`.
Thus, the printed output is:
```
3 False
```
`len(x)` is **not** affected because `x` itself is never modified. Only `y` is altered, but `x` remains the original list. The length of `x` continues to be `3` regardless of changes to `y`.</t>
        </is>
      </c>
      <c r="H35" s="16" t="n"/>
      <c r="I35" s="16" t="n"/>
      <c r="J35" s="16" t="n"/>
      <c r="K35" s="16" t="n"/>
      <c r="L35" s="16">
        <f>IF(COUNT(H35:K35)&gt;0, SUM(H35:K35), "")</f>
        <v/>
      </c>
      <c r="M35" s="16" t="inlineStr">
        <is>
          <t>2026-09-16 12:17:37</t>
        </is>
      </c>
      <c r="N35" s="16" t="n">
        <v>26.28</v>
      </c>
      <c r="O35" s="16" t="n">
        <v>22.031</v>
      </c>
      <c r="P35" s="16" t="n">
        <v>792</v>
      </c>
      <c r="Q35" s="16">
        <f>IF(AND(ISNUMBER(O35), O35&gt;0, ISNUMBER(P35)), ROUND(P35/O35, 2), IF(AND(ISNUMBER(N35), N35&gt;0, ISNUMBER(P35)), ROUND(P35/N35, 2), ""))</f>
        <v/>
      </c>
      <c r="R35" s="16" t="n">
        <v>3.64</v>
      </c>
      <c r="S35" s="16" t="inlineStr">
        <is>
          <t>Completed</t>
        </is>
      </c>
      <c r="T35" s="16" t="inlineStr">
        <is>
          <t>Pending</t>
        </is>
      </c>
      <c r="U35" s="15" t="inlineStr">
        <is>
          <t>data/responses/Q12_PHI.json</t>
        </is>
      </c>
      <c r="V35" s="15" t="n"/>
    </row>
    <row r="36" ht="39.6" customHeight="1" s="18">
      <c r="A36" s="2" t="inlineStr">
        <is>
          <t>Q12_DSR1</t>
        </is>
      </c>
      <c r="B36" s="2" t="inlineStr">
        <is>
          <t>Q12</t>
        </is>
      </c>
      <c r="C36" s="3" t="inlineStr">
        <is>
          <t>deepseek-r1:7b</t>
        </is>
      </c>
      <c r="D36" s="3" t="inlineStr">
        <is>
          <t>Programming reasoning</t>
        </is>
      </c>
      <c r="E36" s="2" t="inlineStr">
        <is>
          <t>Easy</t>
        </is>
      </c>
      <c r="F36" s="19" t="inlineStr">
        <is>
          <t>Trace the execution of this Python code snippet and determine the exact printed output:
x = [1, 2, 3]
y = x
y.append(4)
print(len(x), x == y)
Explain why `len(x)` is affected.</t>
        </is>
      </c>
      <c r="G36" s="15" t="inlineStr">
        <is>
          <t>[FINAL ANSWER]
The code snippet demonstrates the concept of reference equality in Python. When `y = x` is executed, both variables point to the same list object. Appending an element to `y` modifies the list that `x` also references. Therefore, `x` now has four elements, and `x` and `y` are still the same object, so `x == y` is `True`.
**Answer:**
The printed output is `4` and `True`. The length of `x` is affected because `y` is a reference to `x`, and modifying `y` (by appending) changes `x` as well.
[THINKING PROCESS (&lt;think&gt;)]
Okay, so I have this Python code snippet to trace. Let me read it again: x is assigned a list [1, 2, 3], then y is assigned to x. Then y.append(4) is called, and finally, we print the length of x and whether x equals y.
Hmm, I remember that in Python, when you assign y = x, y becomes a reference to the same object as x. So if I modify y, x should also change because they point to the same list. Wait, but in this case, y is appending an element. So when I do y.append(4), that should add 4 to the list that y is referencing, which is the same as x. So x should now have 4 added to it.
Let me think about the initial state. x is [1, 2, 3], and y is also [1, 2, 3] because it's the same object. Then, when I append 4 to y, x should become [1, 2, 3, 4] as well because they share the same memory location.
So when we print len(x), it should be 4. And when we check if x equals y, since they are the same object, it should return True.
Wait, but I'm a bit confused. Does y.append(4) modify x? Because y is a reference to x, yes. So x's length increases by one. So len(x) would be 4, and x == y would be True because they are the same list.
But wait, what if someone changes y after that? Would x still reflect those changes? Yes, because they are the same object. So in this case, after appending, x has 4 elements, and x and y are the same list.
So the output should be 4 and True.
I think that's it. So the printed output is 4 and True.</t>
        </is>
      </c>
      <c r="H36" s="16" t="n"/>
      <c r="I36" s="16" t="n"/>
      <c r="J36" s="16" t="n"/>
      <c r="K36" s="16" t="n"/>
      <c r="L36" s="16">
        <f>IF(COUNT(H36:K36)&gt;0, SUM(H36:K36), "")</f>
        <v/>
      </c>
      <c r="M36" s="16" t="inlineStr">
        <is>
          <t>2026-09-16 12:24:46</t>
        </is>
      </c>
      <c r="N36" s="16" t="n">
        <v>27.274</v>
      </c>
      <c r="O36" s="16" t="n">
        <v>19.15</v>
      </c>
      <c r="P36" s="16" t="n">
        <v>540</v>
      </c>
      <c r="Q36" s="16">
        <f>IF(AND(ISNUMBER(O36), O36&gt;0, ISNUMBER(P36)), ROUND(P36/O36, 2), IF(AND(ISNUMBER(N36), N36&gt;0, ISNUMBER(P36)), ROUND(P36/N36, 2), ""))</f>
        <v/>
      </c>
      <c r="R36" s="16" t="n">
        <v>4.53</v>
      </c>
      <c r="S36" s="16" t="inlineStr">
        <is>
          <t>Completed</t>
        </is>
      </c>
      <c r="T36" s="16" t="inlineStr">
        <is>
          <t>Pending</t>
        </is>
      </c>
      <c r="U36" s="15" t="inlineStr">
        <is>
          <t>data/responses/Q12_DSR1.json</t>
        </is>
      </c>
      <c r="V36" s="15" t="n"/>
    </row>
    <row r="37" ht="39.6" customHeight="1" s="18">
      <c r="A37" s="2" t="inlineStr">
        <is>
          <t>Q12_QWEN</t>
        </is>
      </c>
      <c r="B37" s="2" t="inlineStr">
        <is>
          <t>Q12</t>
        </is>
      </c>
      <c r="C37" s="3" t="inlineStr">
        <is>
          <t>qwen3:8b</t>
        </is>
      </c>
      <c r="D37" s="3" t="inlineStr">
        <is>
          <t>Programming reasoning</t>
        </is>
      </c>
      <c r="E37" s="2" t="inlineStr">
        <is>
          <t>Easy</t>
        </is>
      </c>
      <c r="F37" s="19" t="inlineStr">
        <is>
          <t>Trace the execution of this Python code snippet and determine the exact printed output:
x = [1, 2, 3]
y = x
y.append(4)
print(len(x), x == y)
Explain why `len(x)` is affected.</t>
        </is>
      </c>
      <c r="G37" s="15" t="inlineStr">
        <is>
          <t>[FINAL ANSWER]
The Python code snippet provided is as follows:
```python
x = [1, 2, 3]
y = x
y.append(4)
print(len(x), x == y)
```
---
### **Step-by-Step Execution and Output Explanation**
1. **Initialization of `x`:**
   ```python
   x = [1, 2, 3]
   ```
   - A list `[1, 2, 3]` is created and assigned to the variable `x`.
2. **Assignment of `y = x`:**
   ```python
   y = x
   ```
   - This does **not** create a new list. Instead, `y` is assigned to reference the **same list object** as `x`. Both variables now point to the same list in memory.
3. **Modification via `y`:**
   ```python
   y.append(4)
   ```
   - The `append()` method is called on `y`, which modifies the list **in-place**. Since `y` and `x` reference the same list, this change is reflected in both variables.
   - The list now becomes `[1, 2, 3, 4]`.
4. **Printing the Result:**
   ```python
   print(len(x), x == y)
   ```
   - `len(x)` evaluates to `4` because the list now has 4 elements.
   - `x == y` evaluates to `True` because both variables reference the same list object, and their contents are identical.
---
### **Final Output**
```
4 True
```
---
### **Why is `len(x)` Affected?**
- **Mutability of Lists:** Lists in Python are **mutable** data structures, meaning their contents can be changed after creation.
- **Shared Reference:** When `y = x`, both `x` and `y` point to the **same list object**. Any modification to the list via `y` (like `y.append(4)`) directly alters the list that `x` also references.
- **In-Place Modification:** The `append()` method modifies the list **in-place**, which means the original list (referenced by `x`) is changed, hence `len(x)` reflects the updated length.
---
### **Conclusion**
The code demonstrates how **mutable objects** like lists behave in Python when assigned to multiple variables. Changes made to one variable affect all variables referencing the same object. The final printed output is:
```
4 True
```
[THINKING PROCESS (&lt;think&gt;)]
Okay, let me try to figure out what this Python code does. So the code starts by assigning a list [1, 2, 3] to x. Then y is assigned to x. Wait, so y is now referencing the same list as x, right? Because in Python, when you assign a list to a variable, both variables point to the same object. So x and y are pointing to the same list.
Then, y.append(4) is called. The append method modifies the list in place. Since y is pointing to the same list as x, this should modify the list that x is pointing to as well. So after this operation, the list should have elements [1, 2, 3, 4]. 
So when we check len(x), that should be 4. Then, the code checks if x == y. Since both variables point to the same list object, their contents are the same, so x == y would evaluate to True. Therefore, the print statement should output "4 True".
Wait, but let me make sure. Let me think again. When you do y = x, both variables refer to the same list. Any modifications to the list via y will affect x, because they're the same object. So appending 4 to y's list adds it to the same list that x is referencing. So len(x) is indeed 4. And x == y compares the contents, which are equal, so True. So the output is 4 True.
Another thing to consider: if the list had been immutable, like a tuple, then assigning y = x would make y point to the same object, but modifying it would be impossible. But since lists are mutable, changes made via y affect x. So yes, len(x) is 4. The print statement outputs 4 True.</t>
        </is>
      </c>
      <c r="H37" s="16" t="n"/>
      <c r="I37" s="16" t="n"/>
      <c r="J37" s="16" t="n"/>
      <c r="K37" s="16" t="n"/>
      <c r="L37" s="16">
        <f>IF(COUNT(H37:K37)&gt;0, SUM(H37:K37), "")</f>
        <v/>
      </c>
      <c r="M37" s="16" t="inlineStr">
        <is>
          <t>2026-09-16 12:31:05</t>
        </is>
      </c>
      <c r="N37" s="16" t="n">
        <v>35.694</v>
      </c>
      <c r="O37" s="16" t="n">
        <v>31.201</v>
      </c>
      <c r="P37" s="16" t="n">
        <v>907</v>
      </c>
      <c r="Q37" s="16">
        <f>IF(AND(ISNUMBER(O37), O37&gt;0, ISNUMBER(P37)), ROUND(P37/O37, 2), IF(AND(ISNUMBER(N37), N37&gt;0, ISNUMBER(P37)), ROUND(P37/N37, 2), ""))</f>
        <v/>
      </c>
      <c r="R37" s="16" t="n">
        <v>5.35</v>
      </c>
      <c r="S37" s="16" t="inlineStr">
        <is>
          <t>Completed</t>
        </is>
      </c>
      <c r="T37" s="16" t="inlineStr">
        <is>
          <t>Pending</t>
        </is>
      </c>
      <c r="U37" s="15" t="inlineStr">
        <is>
          <t>data/responses/Q12_QWEN.json</t>
        </is>
      </c>
      <c r="V37" s="15" t="n"/>
    </row>
    <row r="38" ht="39.6" customHeight="1" s="18">
      <c r="A38" s="2" t="inlineStr">
        <is>
          <t>Q13_PHI</t>
        </is>
      </c>
      <c r="B38" s="2" t="inlineStr">
        <is>
          <t>Q13</t>
        </is>
      </c>
      <c r="C38" s="3" t="inlineStr">
        <is>
          <t>phi4-mini-reasoning</t>
        </is>
      </c>
      <c r="D38" s="3" t="inlineStr">
        <is>
          <t>Programming reasoning</t>
        </is>
      </c>
      <c r="E38" s="2" t="inlineStr">
        <is>
          <t>Medium</t>
        </is>
      </c>
      <c r="F38" s="19" t="inlineStr">
        <is>
          <t>Identify the bug in the following binary search implementation and explain how to fix it:
def binary_search(arr, target):
    low = 0
    high = len(arr)
    while low &lt; high:
        mid = (low + high) // 2
        if arr[mid] == target:
            return mid
        elif arr[mid] &lt; target:
            low = mid
        else:
            high = mid - 1
    return -1</t>
        </is>
      </c>
      <c r="G38" s="15" t="inlineStr">
        <is>
          <t>&lt;think&gt;
Okay, let's take a look at this binary search code. Hmm, the user says there's a bug here. Let me walk through the code step by step.
So the function is binary_search, which takes an array and a target. The initial setup seems right: low starts at 0, high at the length of the array. The loop runs while low is less than high. Then mid is calculated as (low + high) // 2. 
Wait, in each iteration, if the target is found at arr[mid], return mid. That's correct. Now, if arr[mid] is less than target, they set low to mid. But wait, in binary search, when the middle element is less than the target, you need to move the lower bound up to mid to look in the upper half. But here, they set low = mid. That seems right. But what if the array isn't sorted? Oh, but binary search assumes the array is sorted. So maybe the bug isn't here. 
Wait, let's think about the case where the loop exits. If the loop exits without returning, then the target isn't found, so return -1. That's correct. 
Wait, maybe the problem is with how mid is calculated. Let's take an example. Suppose the array is [1, 3, 5, 7, 9] and target is 7. Let's see:
Initial low=0, high=5. mid=(0+5)//2=2. arr[2] is 5. Since 5 &lt;7, so low becomes 2. Now low is 2, high is5. mid=(2+5)//2=3. arr[3] is7, which matches, return 3. Correct.
Another example: target is 8. Let's see. Initial low=0, high=5. mid=2, arr[2]=5 &lt;8. So low=2. Next loop: low=2, high=5. mid= (2+5)//2=3. arr[3]=7 &lt;8. low=3. Now low=3, high=5. mid= (3+5)//2=4. arr[4]=9&gt;8. So high=4. Now low=3, high=4. mid=3.5? Wait, no, mid is (3+4)//2=3.5? Wait, no, in Python, integer division. So 3+4 is 7, divided by 2 is 3.5, but integer division would be 3. So mid=3. arr[3] is9&gt;8. So high=4-1=3. Now low and high are both 3. So loop exits. Return -1. Which is correct because 8 isn't in the array. So that works.
Wait, maybe the bug is when the array has even number of elements. Let's take an example where the target is in the middle. Hmm. Let's try an array [2,4,6,8,10]. Target is 6. Initial low=0, high=5. mid=2. arr[2]=6, return 2. Correct.
Another test case: array [5, 10, 15, 20, 25], target 15. low=0, high=5. mid=2 (5+5//2= (0+5)//2=2.5? No, wait (0+5)=5//2=2. So mid=2. arr[2] is15. Return 2. Correct.
Wait, maybe the problem is when the array has only one element. Let's say arr is [3], target is3. Then low=0, high=1. mid=0.5? No, (0+1)//2=0. So mid=0. arr[0] is3, return 0. Correct.
Hmm. What about when the array is empty? Then len(arr) is 0, so high is 0. low starts at 0. low &lt; high is 0 &lt;0? No. So loop doesn't run. Return -1. Correct.
Wait, maybe the problem is with the initial high. Because in Python, len(arr) gives the number of elements. So high is set to len(arr), which is correct. But in some languages, the high might be set to len(arr)-1. Wait, but in Python, the indexes are from 0 to len(arr)-1. So if high is set to len(arr), then mid could be calculated as (low + high)//2. For example, if arr has length 5, high is 5. So mid could be (0+5)//2=2 (since 5//2 is 2 in integer division). Which is correct. So that's okay.
Wait, maybe the bug is when the array is not sorted. But binary</t>
        </is>
      </c>
      <c r="H38" s="16" t="n"/>
      <c r="I38" s="16" t="n"/>
      <c r="J38" s="16" t="n"/>
      <c r="K38" s="16" t="n"/>
      <c r="L38" s="16">
        <f>IF(COUNT(H38:K38)&gt;0, SUM(H38:K38), "")</f>
        <v/>
      </c>
      <c r="M38" s="16" t="inlineStr">
        <is>
          <t>2026-09-16 12:19:11</t>
        </is>
      </c>
      <c r="N38" s="16" t="n">
        <v>34.47</v>
      </c>
      <c r="O38" s="16" t="n">
        <v>27.48</v>
      </c>
      <c r="P38" s="16" t="n">
        <v>1024</v>
      </c>
      <c r="Q38" s="16">
        <f>IF(AND(ISNUMBER(O38), O38&gt;0, ISNUMBER(P38)), ROUND(P38/O38, 2), IF(AND(ISNUMBER(N38), N38&gt;0, ISNUMBER(P38)), ROUND(P38/N38, 2), ""))</f>
        <v/>
      </c>
      <c r="R38" s="16" t="n">
        <v>3.64</v>
      </c>
      <c r="S38" s="16" t="inlineStr">
        <is>
          <t>Completed</t>
        </is>
      </c>
      <c r="T38" s="16" t="inlineStr">
        <is>
          <t>Pending</t>
        </is>
      </c>
      <c r="U38" s="15" t="inlineStr">
        <is>
          <t>data/responses/Q13_PHI.json</t>
        </is>
      </c>
      <c r="V38" s="15" t="inlineStr">
        <is>
          <t>Reached max tokens limit (num_predict=1024)</t>
        </is>
      </c>
    </row>
    <row r="39" ht="39.6" customHeight="1" s="18">
      <c r="A39" s="2" t="inlineStr">
        <is>
          <t>Q13_DSR1</t>
        </is>
      </c>
      <c r="B39" s="2" t="inlineStr">
        <is>
          <t>Q13</t>
        </is>
      </c>
      <c r="C39" s="3" t="inlineStr">
        <is>
          <t>deepseek-r1:7b</t>
        </is>
      </c>
      <c r="D39" s="3" t="inlineStr">
        <is>
          <t>Programming reasoning</t>
        </is>
      </c>
      <c r="E39" s="2" t="inlineStr">
        <is>
          <t>Medium</t>
        </is>
      </c>
      <c r="F39" s="19" t="inlineStr">
        <is>
          <t>Identify the bug in the following binary search implementation and explain how to fix it:
def binary_search(arr, target):
    low = 0
    high = len(arr)
    while low &lt; high:
        mid = (low + high) // 2
        if arr[mid] == target:
            return mid
        elif arr[mid] &lt; target:
            low = mid
        else:
            high = mid - 1
    return -1</t>
        </is>
      </c>
      <c r="G39" s="15" t="inlineStr">
        <is>
          <t>&lt;think&gt;
Okay, so I need to figure out what's wrong with this binary search implementation. Let me look at the code step by step.
The function is called binary_search and takes an array 'arr' and a target value. It initializes 'low' to 0 and 'high' to the length of the array. Then it enters a while loop that continues as long as 'low' is less than 'high'.
Inside the loop, it calculates 'mid' as the average of 'low' and 'high', using integer division. Then it checks if the element at 'mid' is equal to the target. If so, it returns 'mid'. That seems correct.
If the element at 'mid' is less than the target, it sets 'low' to 'mid'. Wait, that doesn't seem right. Because if the middle element is less than the target, the target must be in the right half, so shouldn't 'low' be set to 'mid + 1'? Otherwise, it might miss the target.
Similarly, if the element at 'mid' is greater than the target, it sets 'high' to 'mid - 1'. That part seems correct because we need to search the left half.
So the bug is probably in the case where the middle element is less than the target. Instead of setting 'low' to 'mid', it should be set to 'mid + 1'. Otherwise, the search could stop too early or miss the target entirely.
Let me test this with an example. Suppose the array is [1, 2, 3, 4, 5], and the target is 3.
First iteration: low=0, high=5. mid=(0+5)//2=2. arr[mid]=3, which is the target, so it returns 2. That's correct.
Another example: target is 4. First mid is 2, arr[mid]=3 &lt;4, so low becomes 3. Next iteration: low=3, high=5. mid=(3+5)//2=4. arr[4]=5&gt;4, so high becomes 3. Now low=3, high=3, loop ends, returns -1. Wait, that's wrong because 4 is in the array. Oh, wait, no, in the array [1,2,3,4,5], 4 is at index 3. So when mid is 4, arr[mid] is 5, which is greater than 4, so high becomes 3. Now low is 3, high is 3, loop exits, returns -1. That's incorrect because 4 is present.
Wait, that's a problem. So the code isn't finding 4 because when mid is 4, it's set to high=3, but then low is 3, high is 3, so the loop stops. So the bug is that when the target is found in the right half, the code doesn't correctly adjust the high.
Wait, no, in the first case, when target is 4, the first mid is 2, which is 3. Since 3 &lt;4, low becomes 3. Now low=3, high=5. Mid is (3+5)//2=4. arr[4] is 5, which is &gt;4, so high becomes 3. Now low=3, high=3, loop ends, returns -1. So the code misses the target.
So the issue is that when the middle element is less than the target, the code sets low to mid, but it should set it to mid +1. Similarly, when the middle is greater, it sets high to mid -1, which is correct.
So the fix is to change the 'low = mid' to 'low = mid + 1' in the case where arr[mid] &lt; target.
Let me adjust the code accordingly and test again.
In the example where target is 4:
First iteration: low=0, high=5. mid=2, arr[mid]=3 &lt;4, so low becomes 3.
Second iteration: low=3, high=5. mid=(3+5)//2=4. arr[mid]=5&gt;4, so high becomes 3.
Now low=3, high=3, loop ends, returns -1. Still not working.
Wait, maybe I made a mistake in the example. Let me try with a different array.
Suppose the array is [1,3,5,7], target is 5.
First mid is (0+4)//2=2. arr[2]=5, returns 2. Correct.
Another example: target is 7.
First mid=2, arr[2]=5 &lt;7, so low=3.
Now low=3, high=4. mid=(3+4)//2=3. arr[3]=7, returns 3.
&lt;/think&gt;</t>
        </is>
      </c>
      <c r="H39" s="16" t="n"/>
      <c r="I39" s="16" t="n"/>
      <c r="J39" s="16" t="n"/>
      <c r="K39" s="16" t="n"/>
      <c r="L39" s="16">
        <f>IF(COUNT(H39:K39)&gt;0, SUM(H39:K39), "")</f>
        <v/>
      </c>
      <c r="M39" s="16" t="inlineStr">
        <is>
          <t>2026-09-16 12:25:52</t>
        </is>
      </c>
      <c r="N39" s="16" t="n">
        <v>37.487</v>
      </c>
      <c r="O39" s="16" t="n">
        <v>33.022</v>
      </c>
      <c r="P39" s="16" t="n">
        <v>1024</v>
      </c>
      <c r="Q39" s="16">
        <f>IF(AND(ISNUMBER(O39), O39&gt;0, ISNUMBER(P39)), ROUND(P39/O39, 2), IF(AND(ISNUMBER(N39), N39&gt;0, ISNUMBER(P39)), ROUND(P39/N39, 2), ""))</f>
        <v/>
      </c>
      <c r="R39" s="16" t="n">
        <v>4.54</v>
      </c>
      <c r="S39" s="16" t="inlineStr">
        <is>
          <t>Completed</t>
        </is>
      </c>
      <c r="T39" s="16" t="inlineStr">
        <is>
          <t>Pending</t>
        </is>
      </c>
      <c r="U39" s="15" t="inlineStr">
        <is>
          <t>data/responses/Q13_DSR1.json</t>
        </is>
      </c>
      <c r="V39" s="15" t="inlineStr">
        <is>
          <t>Reached max tokens limit (num_predict=1024)</t>
        </is>
      </c>
    </row>
    <row r="40" ht="39.6" customHeight="1" s="18">
      <c r="A40" s="2" t="inlineStr">
        <is>
          <t>Q13_QWEN</t>
        </is>
      </c>
      <c r="B40" s="2" t="inlineStr">
        <is>
          <t>Q13</t>
        </is>
      </c>
      <c r="C40" s="3" t="inlineStr">
        <is>
          <t>qwen3:8b</t>
        </is>
      </c>
      <c r="D40" s="3" t="inlineStr">
        <is>
          <t>Programming reasoning</t>
        </is>
      </c>
      <c r="E40" s="2" t="inlineStr">
        <is>
          <t>Medium</t>
        </is>
      </c>
      <c r="F40" s="19" t="inlineStr">
        <is>
          <t>Identify the bug in the following binary search implementation and explain how to fix it:
def binary_search(arr, target):
    low = 0
    high = len(arr)
    while low &lt; high:
        mid = (low + high) // 2
        if arr[mid] == target:
            return mid
        elif arr[mid] &lt; target:
            low = mid
        else:
            high = mid - 1
    return -1</t>
        </is>
      </c>
      <c r="G40" s="15" t="inlineStr">
        <is>
          <t>&lt;think&gt;
Okay, let's see. I need to find the bug in this binary search implementation. Let me start by understanding the code step by step.
The function is called binary_search, taking an array and a target. The initial low is 0, high is len(arr). Then there's a loop while low &lt; high. Inside the loop, mid is calculated as (low + high) divided by 2, using integer division. 
If the element at mid is equal to the target, return mid. If it's less than the target, set low to mid. Otherwise, set high to mid - 1. If the loop ends, return -1.
Hmm. Wait, the high is initialized to len(arr). But in binary search, the high should be len(arr) - 1, right? Because the indices go from 0 to len(arr)-1. So if high is set to len(arr), then the initial range is from 0 to len(arr), which is exclusive. Wait, no. Wait, in the loop condition, it's while low &lt; high. So when high is len(arr), the loop will run as long as low is less than high. But when you calculate mid, if low is 0 and high is len(arr), then mid would be (0 + len(arr))//2. But since high is len(arr), which is the length of the array, the actual indices go up to len(arr)-1. So maybe that's the problem. Let me think.
For example, suppose the array has 5 elements. Then len(arr) is 5. So high is initialized to 5. The loop runs while low &lt; high. Let's say low is 0 and high is 5. Then mid would be (0+5)/2 = 2.5, which becomes 2. So mid is 2. If the element at 2 is not the target, then depending on whether it's less or more, low or high is adjusted. But when the array is of length 5, the valid indices are 0-4. So high should be 4. So initializing high to len(arr) might cause the loop to consider an invalid index. Wait, but when high is len(arr), the loop condition is low &lt; high. So when low is 4 and high is 5, the loop continues. Then mid is (4+5)/2 = 4.5 → 4. So mid is 4, which is a valid index. Then if the element at 4 is not the target, then if it's less than target, low becomes 4. Then the loop continues? Wait, let's think of a scenario where this could cause an error.
Wait, let's take an example. Suppose the array is [1,3,5,7,9], target is 9. Let's walk through the code.
Initial low=0, high=5. mid is (0+5)//2 = 2. arr[2] is 5, which is less than 9. So low becomes 2. Now low=2, high=5. mid is (2+5)//2 = 3.5 → 3. arr[3] is 7 &lt; 9. So low becomes 3. Now low=3, high=5. mid is (3+5)/2=4. arr[4] is 9, which is the target. So returns 4. That's correct. So in this case, it works.
Another example: target is 1. Initial low=0, high=5. mid=2. arr[2] is 5 &gt; 1. So high becomes 2-1=1. Now low=0, high=1. mid is (0+1)/2=0. arr[0] is 1, which is the target. Return 0. Correct.
Another case: array is [2], target is 2. low=0, high=1. mid is 0. arr[0] is 2, return 0. Correct.
What if the array is empty? Well, the code would return -1, which is correct.
Wait, but what if the array has length 1? Let's say arr is [5], target is 5. Then high is len(arr) = 1. So loop runs while 0 &lt; 1. mid is (0+1)/2 = 0.5 → 0. arr[0] is 5, return 0. Correct.
Hmm. So maybe the initial high being len(arr) is okay? But wait, in some implementations, high is set to len(arr)-1. So why is this code using len(arr) instead?
Wait, perhaps there's another issue. Let me think about when the array is not sorted. But the problem says it's a binary search, so perhaps the array is
&lt;/think&gt;</t>
        </is>
      </c>
      <c r="H40" s="16" t="n"/>
      <c r="I40" s="16" t="n"/>
      <c r="J40" s="16" t="n"/>
      <c r="K40" s="16" t="n"/>
      <c r="L40" s="16">
        <f>IF(COUNT(H40:K40)&gt;0, SUM(H40:K40), "")</f>
        <v/>
      </c>
      <c r="M40" s="16" t="inlineStr">
        <is>
          <t>2026-09-16 12:32:33</t>
        </is>
      </c>
      <c r="N40" s="16" t="n">
        <v>39.133</v>
      </c>
      <c r="O40" s="16" t="n">
        <v>34.57</v>
      </c>
      <c r="P40" s="16" t="n">
        <v>1024</v>
      </c>
      <c r="Q40" s="16">
        <f>IF(AND(ISNUMBER(O40), O40&gt;0, ISNUMBER(P40)), ROUND(P40/O40, 2), IF(AND(ISNUMBER(N40), N40&gt;0, ISNUMBER(P40)), ROUND(P40/N40, 2), ""))</f>
        <v/>
      </c>
      <c r="R40" s="16" t="n">
        <v>5.35</v>
      </c>
      <c r="S40" s="16" t="inlineStr">
        <is>
          <t>Completed</t>
        </is>
      </c>
      <c r="T40" s="16" t="inlineStr">
        <is>
          <t>Pending</t>
        </is>
      </c>
      <c r="U40" s="15" t="inlineStr">
        <is>
          <t>data/responses/Q13_QWEN.json</t>
        </is>
      </c>
      <c r="V40" s="15" t="inlineStr">
        <is>
          <t>Reached max tokens limit (num_predict=1024)</t>
        </is>
      </c>
    </row>
    <row r="41" ht="39.6" customHeight="1" s="18">
      <c r="A41" s="2" t="inlineStr">
        <is>
          <t>Q14_PHI</t>
        </is>
      </c>
      <c r="B41" s="2" t="inlineStr">
        <is>
          <t>Q14</t>
        </is>
      </c>
      <c r="C41" s="3" t="inlineStr">
        <is>
          <t>phi4-mini-reasoning</t>
        </is>
      </c>
      <c r="D41" s="3" t="inlineStr">
        <is>
          <t>Programming reasoning</t>
        </is>
      </c>
      <c r="E41" s="2" t="inlineStr">
        <is>
          <t>Medium</t>
        </is>
      </c>
      <c r="F41" s="19" t="inlineStr">
        <is>
          <t>Describe Floyd's Cycle-Finding Algorithm (Tortoise and Hare) for detecting a loop in a singly linked list. Explain why the time complexity is O(N) and the auxiliary space complexity is O(1).</t>
        </is>
      </c>
      <c r="G41" s="15" t="inlineStr">
        <is>
          <t>&lt;think&gt;
Okay, I need to describe Floyd's Cycle-Finding Algorithm, also known as the Tortoise and Hare algorithm. Let me start by recalling what this algorithm does. It's used to detect a cycle in a singly linked list. The basic idea is to have two pointers moving at different speeds—one slow (tortoise) and one fast (hare). If there's a cycle, the fast pointer will eventually loop around and meet the slow pointer inside the cycle. If there's no cycle, both pointers will reach the end of the list.
Wait, how exactly do the pointers move? The tortoise moves one step at a time, while the hare moves two steps. So, in each iteration, the hare gains on the tortoise by two nodes. If a cycle exists, the distance between them will decrease until they meet. But why does this happen? Let me think. Suppose the list has a cycle. The hare traverses the list twice as fast. If the cycle's length is L, then the hare will catch up to the tortoise in O(L) time. But since the cycle could be any length, how does this algorithm ensure that the total time is O(N) where N is the number of elements?
Ah, right. The key insight is that the meeting point is not necessarily at the start or end of the cycle. Instead, the meeting occurs when the hare and tortoise are at the same node. At that point, we can stop the pointers and return that there's a cycle. Now, why does this work? Because if there's a cycle, the distance between the two pointers must be less than the length of the cycle. Otherwise, they would have met already. So, the maximum number of steps needed is proportional to the length of the list, which is O(N).
Wait, let me formalize this. Let's say the list has N nodes. The hare moves at 2r per step, the tortoise at r per step. The relative speed is r. So, the time to meet would be O(N) if the cycle length is considered. But how does that translate to O(N) time complexity? Because the maximum number of steps the hare can take before meeting is O(N), since if there's no cycle, they would meet at the end. So, in the worst case, the hare traverses the list once, which is O(N) time. Therefore, the time complexity is O(N).
Now, about the space complexity. The algorithm uses only two additional pointers, so it's O(1) auxiliary space. We don't use any extra data structures like hash tables. That's why the space is constant.
Wait, but why can't the cycle be longer than the list? No, in a singly linked list, each node has only one next pointer. So, if there's a cycle, every node is part of the cycle. The maximum possible cycle length is N. So, the hare and tortoise can meet in O(N) time. Because in the worst case, the hare moves two steps for every one step the tortoise moves. If there's no cycle, they would meet at the end after N steps. If there is a cycle, the meeting happens before that. So, the time is proportional to the number of nodes, hence O(N).
Another point to consider: the algorithm works because the cycle length must be a divisor of the relative speed. Since the relative speed is 1 (hare moves twice as fast as tortoise), the cycle length must be 1, 2, or any divisor of the distance covered. Wait, maybe that's not the exact reasoning. Let me think again. The idea is that if there's a cycle, the distance between the two pointers must be a multiple of the cycle length. So, when the distance becomes less than the cycle length, they meet. But since the cycle could be any length, the maximum number of steps needed is O(N). Because in the worst case, the cycle is of length N, and the hare would take O(N) steps to catch up. But since the hare moves twice as fast, the number of steps would be proportional to N divided by the relative speed (which is 1 here). Wait, maybe the time complexity is O(N) because even with the relative speed, the total steps are O(N). For example, if the list has N nodes, the hare could take up to O(N) steps (each step being two moves) to catch up. But each step of the hare is two moves, so the total number of steps (hare steps) would be O(N/2), but each step involves two pointer moves. However, the tortoise is moving one step per hare step. So, the total number of steps until meeting is O(N). Because in the worst case, the tortoise moves N steps, and the hare moves 2N steps. But since they meet after some steps, the actual number of steps is O(N). So, the time complexity is O(N).
Yes, that makes sense. So</t>
        </is>
      </c>
      <c r="H41" s="16" t="n"/>
      <c r="I41" s="16" t="n"/>
      <c r="J41" s="16" t="n"/>
      <c r="K41" s="16" t="n"/>
      <c r="L41" s="16">
        <f>IF(COUNT(H41:K41)&gt;0, SUM(H41:K41), "")</f>
        <v/>
      </c>
      <c r="M41" s="16" t="inlineStr">
        <is>
          <t>2026-09-16 12:21:22</t>
        </is>
      </c>
      <c r="N41" s="16" t="n">
        <v>34.853</v>
      </c>
      <c r="O41" s="16" t="n">
        <v>28.275</v>
      </c>
      <c r="P41" s="16" t="n">
        <v>1024</v>
      </c>
      <c r="Q41" s="16">
        <f>IF(AND(ISNUMBER(O41), O41&gt;0, ISNUMBER(P41)), ROUND(P41/O41, 2), IF(AND(ISNUMBER(N41), N41&gt;0, ISNUMBER(P41)), ROUND(P41/N41, 2), ""))</f>
        <v/>
      </c>
      <c r="R41" s="16" t="n">
        <v>3.64</v>
      </c>
      <c r="S41" s="16" t="inlineStr">
        <is>
          <t>Completed</t>
        </is>
      </c>
      <c r="T41" s="16" t="inlineStr">
        <is>
          <t>Pending</t>
        </is>
      </c>
      <c r="U41" s="15" t="inlineStr">
        <is>
          <t>data/responses/Q14_PHI.json</t>
        </is>
      </c>
      <c r="V41" s="15" t="inlineStr">
        <is>
          <t>Reached max tokens limit (num_predict=1024)</t>
        </is>
      </c>
    </row>
    <row r="42" ht="39.6" customHeight="1" s="18">
      <c r="A42" s="2" t="inlineStr">
        <is>
          <t>Q14_DSR1</t>
        </is>
      </c>
      <c r="B42" s="2" t="inlineStr">
        <is>
          <t>Q14</t>
        </is>
      </c>
      <c r="C42" s="3" t="inlineStr">
        <is>
          <t>deepseek-r1:7b</t>
        </is>
      </c>
      <c r="D42" s="3" t="inlineStr">
        <is>
          <t>Programming reasoning</t>
        </is>
      </c>
      <c r="E42" s="2" t="inlineStr">
        <is>
          <t>Medium</t>
        </is>
      </c>
      <c r="F42" s="19" t="inlineStr">
        <is>
          <t>Describe Floyd's Cycle-Finding Algorithm (Tortoise and Hare) for detecting a loop in a singly linked list. Explain why the time complexity is O(N) and the auxiliary space complexity is O(1).</t>
        </is>
      </c>
      <c r="G42" s="15" t="inlineStr">
        <is>
          <t>[FINAL ANSWER]
Floyd's Cycle-Finding Algorithm, also known as the Tortoise and Hare algorithm, is a method to detect cycles in a singly linked list. Here's a step-by-step explanation:
1. **Initialization**: Start with two pointers, `tortoise` and `hare`, both initialized to the head of the linked list.
2. **Traversal**:
   - Move `tortoise` one step at a time.
   - Move `hare` two steps at a time.
3. **Cycle Detection**:
   - If the hare catches up to the tortoise, a cycle exists in the list.
   - If the hare reaches the end of the list, there is no cycle.
4. **Efficiency**:
   - **Time Complexity**: O(N), where N is the number of nodes. The algorithm ensures that each node is visited at most twice (once by each pointer), leading to linear time complexity.
   - **Space Complexity**: O(1), as only two pointers are used, regardless of the list size.
This algorithm efficiently detects cycles
[THINKING PROCESS (&lt;think&gt;)]
Okay, so I need to explain Floyd's Cycle-Finding Algorithm, also known as the Tortoise and Hare algorithm, for detecting a loop in a singly linked list. I also have to explain why its time complexity is O(N) and why its auxiliary space complexity is O(1). Hmm, let me think about how to approach this.
First, I remember that Floyd's algorithm is used to detect cycles in linked lists. It's efficient because it only uses two pointers, which makes it both time and space efficient. I think the algorithm works by having two pointers move through the list at different speeds—one moves one step at a time (the tortoise), and the other moves two steps at a time (the hare). If there's a cycle, these pointers will eventually meet somewhere inside the cycle.
Wait, but how exactly does that work? Let me visualize a linked list with a cycle. Suppose we have nodes A -&gt; B -&gt; C -&gt; D -&gt; B. So, the hare starts at A, moves to B, then to C, then to D, then back to B. The tortoise starts at A, moves to B, then to C, then to D, then to B. So, when the hare moves two steps each time, it would go A -&gt; B (first step), then C (second step), then D (third step), then B (fourth step). The tortoise, moving one step each time, would be at A, B, C, D, B. So, they meet at B. That makes sense.
But if there's no cycle, like a singly linked list with a tail, the hare will reach the end of the list before the tortoise, right? Because the hare is moving twice as fast. So, if the hare reaches the end, we know there's no cycle.
Now, why is the time complexity O(N)? Well, in the worst case, the tortoise and hare will traverse the list once each. Since the hare moves twice as fast, it will meet the tortoise within N steps, where N is the length of the list. If there's a cycle, they meet within N steps; if not, the hare exits the list in N/2 steps. So, the maximum number of steps is proportional to N, hence O(N).
As for the space complexity, it's O(1) because we're only using two pointers—no additional data structures are needed. So, regardless of the list size, the memory used doesn't grow with N.
Wait, but what if the cycle is very small? Like just two nodes. Does the algorithm still work? Let me think. If the list is A -&gt; B -&gt; A, then the tortoise starts at A, moves to B, then back to A. The hare starts at A, moves to B, then back to A. So, they meet at A, which is correct. If the cycle is longer, say three nodes, they should still meet somewhere inside the cycle.
What about edge cases? If the list has only one node, there's no possibility of a cycle. If the list has two nodes, A -&gt; B, no cycle. If it's A -&gt; A, that's a cycle of length 1. The algorithm should handle all these cases.
I should also consider the steps in detail. The algorithm initializes two pointers, tortoise and hare, both starting at the head. Then, it moves them: tortoise moves one step, hare moves two steps, and this continues until they meet or the hare reaches the end. If they meet, there's a cycle; otherwise, no cycle.
So, putting it all together, the algorithm is efficient because it uses constant space and linear time. It's a clever way to detect cycles without using extra memory beyond two pointers.
I think I've got a good grasp on it now. Let me try to summarize it step by step.</t>
        </is>
      </c>
      <c r="H42" s="16" t="n"/>
      <c r="I42" s="16" t="n"/>
      <c r="J42" s="16" t="n"/>
      <c r="K42" s="16" t="n"/>
      <c r="L42" s="16">
        <f>IF(COUNT(H42:K42)&gt;0, SUM(H42:K42), "")</f>
        <v/>
      </c>
      <c r="M42" s="16" t="inlineStr">
        <is>
          <t>2026-09-16 12:27:01</t>
        </is>
      </c>
      <c r="N42" s="16" t="n">
        <v>37.076</v>
      </c>
      <c r="O42" s="16" t="n">
        <v>32.579</v>
      </c>
      <c r="P42" s="16" t="n">
        <v>1024</v>
      </c>
      <c r="Q42" s="16">
        <f>IF(AND(ISNUMBER(O42), O42&gt;0, ISNUMBER(P42)), ROUND(P42/O42, 2), IF(AND(ISNUMBER(N42), N42&gt;0, ISNUMBER(P42)), ROUND(P42/N42, 2), ""))</f>
        <v/>
      </c>
      <c r="R42" s="16" t="n">
        <v>4.53</v>
      </c>
      <c r="S42" s="16" t="inlineStr">
        <is>
          <t>Completed</t>
        </is>
      </c>
      <c r="T42" s="16" t="inlineStr">
        <is>
          <t>Pending</t>
        </is>
      </c>
      <c r="U42" s="15" t="inlineStr">
        <is>
          <t>data/responses/Q14_DSR1.json</t>
        </is>
      </c>
      <c r="V42" s="15" t="inlineStr">
        <is>
          <t>Reached max tokens limit (num_predict=1024)</t>
        </is>
      </c>
    </row>
    <row r="43" ht="39.6" customHeight="1" s="18">
      <c r="A43" s="2" t="inlineStr">
        <is>
          <t>Q14_QWEN</t>
        </is>
      </c>
      <c r="B43" s="2" t="inlineStr">
        <is>
          <t>Q14</t>
        </is>
      </c>
      <c r="C43" s="3" t="inlineStr">
        <is>
          <t>qwen3:8b</t>
        </is>
      </c>
      <c r="D43" s="3" t="inlineStr">
        <is>
          <t>Programming reasoning</t>
        </is>
      </c>
      <c r="E43" s="2" t="inlineStr">
        <is>
          <t>Medium</t>
        </is>
      </c>
      <c r="F43" s="19" t="inlineStr">
        <is>
          <t>Describe Floyd's Cycle-Finding Algorithm (Tortoise and Hare) for detecting a loop in a singly linked list. Explain why the time complexity is O(N) and the auxiliary space complexity is O(1).</t>
        </is>
      </c>
      <c r="G43" s="15" t="inlineStr">
        <is>
          <t>&lt;think&gt;
Okay, so I need to explain Floyd's Cycle-Finding Algorithm, also known as the Tortoise and Hare algorithm, for detecting a loop in a singly linked list. Let me start by recalling what I know about this algorithm.
First, the problem is to determine if a singly linked list has a cycle. A cycle means that somewhere in the list, a node points to a node that's already been visited before, creating a loop. The challenge is to detect this without using extra space, right? Because if we use a hash table to track visited nodes, that would take O(N) space, which isn't optimal.
Floyd's algorithm uses two pointers, one moving slower than the other. The idea is that if there's a cycle, the faster pointer will eventually catch up to the slower one. Let me think about how that works.
Let me visualize a linked list. Suppose we have a list with nodes A → B → C → D → B → ... So there's a cycle from B to D and back to B. Now, the tortoise moves one step at a time, and the hare moves two steps. If there's no cycle, the hare will reach the end. If there is a cycle, the hare will eventually lap the tortoise, meaning they meet at some node inside the cycle.
Wait, why does this work? Let me think about the math. Let's say the distance from the start to the cycle entrance is 'a', the length of the cycle is 'l', and the hare is moving twice as fast as the tortoise. When the tortoise enters the cycle, the hare is already some steps ahead. Let me try to model their positions.
Let me denote the distance the tortoise travels as 'd'. Then the hare travels '2d'. Since they meet, the difference in their distances must be a multiple of the cycle length. So, 2d - d = d = k*l, where k is some integer. Therefore, d must be a multiple of the cycle length. But how does this ensure they meet?
Alternatively, think about the meeting point. If there's a cycle, the hare and tortoise will meet. If there's no cycle, the hare will reach the end. So the algorithm is: start with both pointers at the head. Move tortoise by one step, hare by two steps. If they meet, there's a cycle. If hare reaches the end, there's no cycle.
Now, why is the time complexity O(N)? Well, in the worst case, the hare has to traverse the list once. Each step, the hare moves two nodes, so the number of steps is proportional to N. But since each step is O(1), the total time is O(N). Wait, but maybe more precisely, the hare could take up to N steps to reach the end, but since it's moving two steps each time, the number of steps is roughly N/2, which is still O(N). So overall, the time is linear.
As for space complexity, we're only using two pointers, so O(1) space. No extra data structures are used. That's why it's optimal.
But let me make sure I'm not missing anything. Let me think of an example. Suppose the list has no cycle. The hare will reach the end, and the algorithm terminates. If there's a cycle, the hare and tortoise will meet. So the algorithm correctly detects the cycle.
But why does the meeting happen? Let me think of the mathematical proof. Let’s assume that the list has a cycle. Let’s say the distance from the start to the cycle entrance is 'a', and the cycle length is 'l'. Let’s say the tortoise and hare start moving. The tortoise moves at speed 1, hare at speed 2. Let’s say they meet after the tortoise has traveled 'd' steps. Then the hare has traveled '2d' steps. The difference between their paths is 2d - d = d. Since they meet, this difference must be a multiple of the cycle length. So d = k*l. But how does this ensure that they meet?
Alternatively, think about the meeting point. Let’s say the tortoise enters the cycle after 'a' steps. Then, the hare has already traveled 'a' steps as well (since hare is moving twice as fast, but maybe not? Wait, no. Wait, the hare starts at the same time as the tortoise. So when the tortoise reaches the cycle entrance, the hare has already moved twice as far. Let me think again.
Let me consider that the tortoise and hare start at the head. Let’s say the tortoise reaches the cycle entrance after 'a' steps. At that point, the hare has moved 2a steps. Since the cycle length is 'l', the hare is now at position (2a mod l) in the cycle. Then, both continue moving. The tortoise
&lt;/think&gt;</t>
        </is>
      </c>
      <c r="H43" s="16" t="n"/>
      <c r="I43" s="16" t="n"/>
      <c r="J43" s="16" t="n"/>
      <c r="K43" s="16" t="n"/>
      <c r="L43" s="16">
        <f>IF(COUNT(H43:K43)&gt;0, SUM(H43:K43), "")</f>
        <v/>
      </c>
      <c r="M43" s="16" t="inlineStr">
        <is>
          <t>2026-09-16 12:34:20</t>
        </is>
      </c>
      <c r="N43" s="16" t="n">
        <v>43.511</v>
      </c>
      <c r="O43" s="16" t="n">
        <v>34.814</v>
      </c>
      <c r="P43" s="16" t="n">
        <v>1024</v>
      </c>
      <c r="Q43" s="16">
        <f>IF(AND(ISNUMBER(O43), O43&gt;0, ISNUMBER(P43)), ROUND(P43/O43, 2), IF(AND(ISNUMBER(N43), N43&gt;0, ISNUMBER(P43)), ROUND(P43/N43, 2), ""))</f>
        <v/>
      </c>
      <c r="R43" s="16" t="n">
        <v>5.35</v>
      </c>
      <c r="S43" s="16" t="inlineStr">
        <is>
          <t>Completed</t>
        </is>
      </c>
      <c r="T43" s="16" t="inlineStr">
        <is>
          <t>Pending</t>
        </is>
      </c>
      <c r="U43" s="15" t="inlineStr">
        <is>
          <t>data/responses/Q14_QWEN.json</t>
        </is>
      </c>
      <c r="V43" s="15" t="inlineStr">
        <is>
          <t>Reached max tokens limit (num_predict=1024)</t>
        </is>
      </c>
    </row>
    <row r="44" ht="39.6" customHeight="1" s="18">
      <c r="A44" s="2" t="inlineStr">
        <is>
          <t>Q15_PHI</t>
        </is>
      </c>
      <c r="B44" s="2" t="inlineStr">
        <is>
          <t>Q15</t>
        </is>
      </c>
      <c r="C44" s="3" t="inlineStr">
        <is>
          <t>phi4-mini-reasoning</t>
        </is>
      </c>
      <c r="D44" s="3" t="inlineStr">
        <is>
          <t>Programming reasoning</t>
        </is>
      </c>
      <c r="E44" s="2" t="inlineStr">
        <is>
          <t>Hard</t>
        </is>
      </c>
      <c r="F44" s="19" t="inlineStr">
        <is>
          <t>Propose an optimal algorithm in Python to find the Longest Increasing Subsequence (LIS) in O(N log N) time complexity using patience sorting / binary search. Provide the complete code, step-by-step invariant explanation, and complexity analysis.</t>
        </is>
      </c>
      <c r="G44" s="15" t="inlineStr">
        <is>
          <t>&lt;think&gt;
Okay, I need to find the Longest Increasing Subsequence (LIS) in O(N log N) time using the patience sorting approach or binary search. Let me think about how to approach this.
First, I remember that the standard LIS algorithm using dynamic programming has O(N^2) time. But the user wants O(N log N), which suggests using a more efficient method. Oh right, the method involving maintaining a list where each new element is placed in the correct position using binary search. Let me recall how that works.
So the idea is to keep track of the smallest possible tail value for all increasing subsequences of length i ending at some element. For example, tails[i] represents the smallest tail value of any increasing subsequence of length i. When a new element is larger than the last element of tails, we append it. Otherwise, we replace the first element in tails that is greater than or equal to the new element. This way, we ensure that tails remains sorted, and each insertion is done in O(log I) time, where I is the current length of tails. Since each element is inserted once and the binary search is O(log n), the total time becomes O(N log N).
Wait, let me think through an example. Suppose the sequence is [3, 1, 2, 4]. The tails list starts empty. The first element 3 is added to tails. Then 1: since 1 is smaller than 3, we replace 3 with 1. Now tails is [1]. Next element 2: 2 is larger than 1, so append to get [1,2]. Then 4 is larger than 2, append to get [1,2,4]. The LIS length is 3.
Another example: [2, 0, 1, 5, 3, 4, 7]. Let's see. Start with 2. Then 0: replace 2 with 0. Then 1: append (tails [0,1]). Then 5: append (tails [0,1,5]). Then 3: find the first element in tails &gt;=3. That's 5, so replace 5 with 3. Now tails [0,1,3]. Next 4: append (tails [0,1,3,4]). Then 7: append. So the length is 4. The LIS is [0,1,3,4,7] or something like that.
So the algorithm maintains a list called tails. For each number in the input array, we either append it to tails if it's larger than the last element, or replace the first element in tails that is &gt;= current number with the current number. This keeps tails sorted in increasing order.
The key steps are:
1. Initialize tails as empty.
2. For each num in the input array:
   a. If tails is empty, append num.
   b. Else, use binary search to find the index in tails where num can be inserted to maintain sorted order.
   c. If the index is equal to the length of tails, append num.
   d. Else, replace tails[index] with num.
3. The length of tails is the length of the LIS.
Wait, but how exactly does the binary search work here? Let's think. For each new num, we want to find the first element in tails that is &gt;= num. Because tails is maintained in a way that all elements are increasing. So if the current num is larger than the last element of tails, we append. Otherwise, we find the position where num can replace an element in tails to keep tails sorted.
Alternatively, the bisect_left function from the bisect module can be used. Because bisect_left returns the insertion point for num in a sorted list. So for tails, which is maintained in a sorted manner, the insertion point is the first index where tails[index] &gt;= num. So if the insertion point is equal to the length of tails, we append. Otherwise, we replace tails[insertion_point] with num.
Yes, that's right. So using the bisect module's bisect_left function would handle the binary search part.
So the steps in code would be:
Initialize tails as empty list.
For each num in the input array:
    idx = bisect.bisect_left(tails, num)
    if idx == len(tails):
        tails.append(num)
    else:
        tails[idx] = num
At the end, the length of tails is the length of the LIS.
Wait, but does this work for all cases? Let me test with some examples.
Test case 1: [3, 1, 2, 4]. The tails would be:
3 → [3]
1 → bisect_left finds index 0 (since 1 &lt; 3). Replace tails[0] with 1 → [1]
2 → bisect_left finds index 1 (since 2 &gt;</t>
        </is>
      </c>
      <c r="H44" s="16" t="n"/>
      <c r="I44" s="16" t="n"/>
      <c r="J44" s="16" t="n"/>
      <c r="K44" s="16" t="n"/>
      <c r="L44" s="16">
        <f>IF(COUNT(H44:K44)&gt;0, SUM(H44:K44), "")</f>
        <v/>
      </c>
      <c r="M44" s="16" t="inlineStr">
        <is>
          <t>2026-09-16 12:22:27</t>
        </is>
      </c>
      <c r="N44" s="16" t="n">
        <v>32.491</v>
      </c>
      <c r="O44" s="16" t="n">
        <v>28.245</v>
      </c>
      <c r="P44" s="16" t="n">
        <v>1024</v>
      </c>
      <c r="Q44" s="16">
        <f>IF(AND(ISNUMBER(O44), O44&gt;0, ISNUMBER(P44)), ROUND(P44/O44, 2), IF(AND(ISNUMBER(N44), N44&gt;0, ISNUMBER(P44)), ROUND(P44/N44, 2), ""))</f>
        <v/>
      </c>
      <c r="R44" s="16" t="n">
        <v>3.64</v>
      </c>
      <c r="S44" s="16" t="inlineStr">
        <is>
          <t>Completed</t>
        </is>
      </c>
      <c r="T44" s="16" t="inlineStr">
        <is>
          <t>Pending</t>
        </is>
      </c>
      <c r="U44" s="15" t="inlineStr">
        <is>
          <t>data/responses/Q15_PHI.json</t>
        </is>
      </c>
      <c r="V44" s="15" t="inlineStr">
        <is>
          <t>Reached max tokens limit (num_predict=1024)</t>
        </is>
      </c>
    </row>
    <row r="45" ht="39.6" customHeight="1" s="18">
      <c r="A45" s="2" t="inlineStr">
        <is>
          <t>Q15_DSR1</t>
        </is>
      </c>
      <c r="B45" s="2" t="inlineStr">
        <is>
          <t>Q15</t>
        </is>
      </c>
      <c r="C45" s="3" t="inlineStr">
        <is>
          <t>deepseek-r1:7b</t>
        </is>
      </c>
      <c r="D45" s="3" t="inlineStr">
        <is>
          <t>Programming reasoning</t>
        </is>
      </c>
      <c r="E45" s="2" t="inlineStr">
        <is>
          <t>Hard</t>
        </is>
      </c>
      <c r="F45" s="19" t="inlineStr">
        <is>
          <t>Propose an optimal algorithm in Python to find the Longest Increasing Subsequence (LIS) in O(N log N) time complexity using patience sorting / binary search. Provide the complete code, step-by-step invariant explanation, and complexity analysis.</t>
        </is>
      </c>
      <c r="G45" s="15" t="inlineStr">
        <is>
          <t>&lt;think&gt;
Okay, so I need to figure out how to implement the optimal algorithm for finding the Longest Increasing Subsequence (LIS) in O(N log N) time. I remember that the patience sorting method is used here, which involves some kind of binary search. Let me try to break this down step by step.
First, I know that the LIS problem is about finding the longest subsequence of a given sequence where the elements are in increasing order. A subsequence doesn't have to be contiguous, right? So, for example, if the sequence is [10, 9, 2, 5, 3, 7, 1], the LIS would be [2,3,7], which has a length of 3.
Now, the patience sorting approach. From what I recall, it's inspired by the card game where you sort piles by placing each card on top of the first pile that is larger than it. Each pile represents an increasing subsequence. The number of piles at the end gives the length of the LIS.
But how does this translate into an algorithm? I think the idea is to maintain a list of the smallest possible last elements of increasing subsequences of various lengths. For each element in the sequence, we find the first pile where the top card is larger than the current element and place the current element on top of that pile. If there's no such pile, we create a new pile.
Wait, no, actually, it's the other way around. For each element, we want to place it on the leftmost pile whose top element is greater than the current element. This way, we're trying to keep the piles as small as possible, which helps in minimizing the number of piles, thus maximizing the LIS length.
So, the algorithm steps would be something like:
1. Initialize an empty list to represent the piles.
2. For each number in the sequence:
   a. Find the first pile whose top element is greater than the current number.
   b. If such a pile exists, replace its top element with the current number.
   c. If not, add a new pile with the current number.
3. The length of the LIS is the number of piles.
But how do we efficiently find the first pile with a top element greater than the current number? That's where binary search comes into play. Since the top elements of the piles are maintained in a way that they are in increasing order, we can perform a binary search on this list to find the appropriate pile.
Wait, actually, the top elements of the piles are maintained in a way that they are in increasing order. So, for each new number, we can perform a binary search on the list of top elements to find the first pile that is larger than the current number. If found, we replace that pile's top with the current number. If not found, we add a new pile.
So, the key steps are:
- Maintain a list of the top elements of each pile, which is always sorted.
- For each number in the sequence:
   - Use binary search to find the first top element in the list that is greater than the current number.
   - If found, replace that top element with the current number.
   - If not found, append the current number to the list.
This way, the list of top elements is always maintained in a sorted manner, allowing binary search to be efficient.
Now, let's think about how to implement this in Python.
First, I'll need to import the bisect module, which provides functions for binary search. Specifically, bisect_right and bisect_left can be useful here. Since we want the first pile where the top is greater than the current number, bisect_right might be appropriate because it finds the insertion point to the right of any existing entries equal to the target.
Wait, let me think. Suppose the list of top elements is [2,5,7]. If the current number is 3, bisect_right would give us the index where 3 would be inserted, which is 1, because 3 is between 2 and 5. So, the first pile with a top greater than 3 is at index 1. So, we replace 5 with 3. That makes sense.
But if the current number is 6, bisect_right would give us index 2, since 6 is between 5 and 7. So, we replace 7 with 6. If the current number is 8, bisect_right returns 3, which is beyond the list, so we append 8.
So, the algorithm in code would look something like this:
Initialize an empty list called tails.
For each num in the sequence:
    idx = bisect.bisect_right(tails, num)
    if idx == len(tails):
        tails.append(num)
    else:
        tails[idx] = num
The length of tails is the length of the LIS.
Wait, but wait. Let me
&lt;/think&gt;</t>
        </is>
      </c>
      <c r="H45" s="16" t="n"/>
      <c r="I45" s="16" t="n"/>
      <c r="J45" s="16" t="n"/>
      <c r="K45" s="16" t="n"/>
      <c r="L45" s="16">
        <f>IF(COUNT(H45:K45)&gt;0, SUM(H45:K45), "")</f>
        <v/>
      </c>
      <c r="M45" s="16" t="inlineStr">
        <is>
          <t>2026-09-16 12:28:17</t>
        </is>
      </c>
      <c r="N45" s="16" t="n">
        <v>37.737</v>
      </c>
      <c r="O45" s="16" t="n">
        <v>33.249</v>
      </c>
      <c r="P45" s="16" t="n">
        <v>1024</v>
      </c>
      <c r="Q45" s="16">
        <f>IF(AND(ISNUMBER(O45), O45&gt;0, ISNUMBER(P45)), ROUND(P45/O45, 2), IF(AND(ISNUMBER(N45), N45&gt;0, ISNUMBER(P45)), ROUND(P45/N45, 2), ""))</f>
        <v/>
      </c>
      <c r="R45" s="16" t="n">
        <v>4.53</v>
      </c>
      <c r="S45" s="16" t="inlineStr">
        <is>
          <t>Completed</t>
        </is>
      </c>
      <c r="T45" s="16" t="inlineStr">
        <is>
          <t>Pending</t>
        </is>
      </c>
      <c r="U45" s="15" t="inlineStr">
        <is>
          <t>data/responses/Q15_DSR1.json</t>
        </is>
      </c>
      <c r="V45" s="15" t="inlineStr">
        <is>
          <t>Reached max tokens limit (num_predict=1024)</t>
        </is>
      </c>
    </row>
    <row r="46" ht="39.6" customHeight="1" s="18">
      <c r="A46" s="2" t="inlineStr">
        <is>
          <t>Q15_QWEN</t>
        </is>
      </c>
      <c r="B46" s="2" t="inlineStr">
        <is>
          <t>Q15</t>
        </is>
      </c>
      <c r="C46" s="3" t="inlineStr">
        <is>
          <t>qwen3:8b</t>
        </is>
      </c>
      <c r="D46" s="3" t="inlineStr">
        <is>
          <t>Programming reasoning</t>
        </is>
      </c>
      <c r="E46" s="2" t="inlineStr">
        <is>
          <t>Hard</t>
        </is>
      </c>
      <c r="F46" s="19" t="inlineStr">
        <is>
          <t>Propose an optimal algorithm in Python to find the Longest Increasing Subsequence (LIS) in O(N log N) time complexity using patience sorting / binary search. Provide the complete code, step-by-step invariant explanation, and complexity analysis.</t>
        </is>
      </c>
      <c r="G46" s="15" t="inlineStr">
        <is>
          <t>&lt;think&gt;
Okay, I need to figure out how to implement the Longest Increasing Subsequence (LIS) in O(N log N) time using patience sorting and binary search. Let me start by recalling what the LIS problem is. The LIS is the longest subsequence in a given sequence where the elements are in increasing order. A subsequence doesn't require elements to be consecutive, just in order.
The standard approach for O(N log N) is using binary search with a method similar to patience sorting. I remember that the idea is to maintain a list where each element represents the smallest possible tail of an increasing subsequence of a certain length. For example, if we have a list of tails, for each number in the array, we find the first element in the tails list that is greater than or equal to the current number and replace it with the current number. This way, the tails list remains sorted, and we can use binary search to find the insertion point efficiently.
Let me think about the steps. For each element in the array, we do a binary search on the tails list to find the position where the current element can replace an existing entry. If the current element is larger than all elements in tails, we append it. Otherwise, we replace the first element in tails that is greater than or equal to the current element. The length of the tails list at the end will be the length of the LIS.
Wait, but how does this actually build the sequence? Because the tails list isn't the actual sequence, but rather a way to track the minimum possible tail values for different lengths. For example, if the array is [3, 1, 2, 4], the tails list would start as empty. Then:
- 3 is added → [3]
- 1 is smaller than 3, so replace 3 with 1 → [1]
- 2 is larger than 1, append → [1, 2]
- 4 is larger than 2, append → [1, 2, 4]. So the length is 3, which is correct.
But how do we reconstruct the actual sequence? Oh, the problem here is that the question only asks for the length of the LIS, but maybe the user wants the actual sequence? Wait, the original question says "find the Longest Increasing Subsequence (LIS)", but the standard O(N log N) algorithm only gives the length. However, the user might want the actual sequence. Wait, the initial problem statement says "find the LIS", but the standard approach with patience sorting gives the length. However, the user might be okay with just the length. Let me check the original question again.
The user says: "Propose an optimal algorithm in Python to find the Longest Increasing Subsequence (LIS) in O(N log N) time complexity using patience sorting / binary search. Provide the complete code, step-by-step invariant explanation, and complexity analysis."
So, the code needs to find the LIS. But the standard approach with patience sorting gives the length. However, perhaps the user wants the actual sequence. Wait, but the standard O(N log N) approach for LIS gives the length, but reconstructing the sequence requires O(N) space and O(N log N) time. However, maybe the user is okay with just the length. Let me check the problem again. The original question says "find the LIS", which could mean the length or the actual sequence. But since the user mentions patience sorting, which is used for the length, perhaps they just want the length. However, maybe the user wants the actual sequence. Let me think.
In any case, the code for the length is straightforward. Let me proceed with that first. But perhaps the user wants the actual sequence. Let me check the standard approach. For example, the patience sorting algorithm can be used to find the length, but to reconstruct the sequence, you need to track the predecessors. However, that might complicate things. Let me check the original question again. The user says "find the LIS", which could be ambiguous. However, given that the user mentions O(N log N) time, which is standard for the length, perhaps they just want the length. However, maybe they want the actual sequence. Let me check the initial problem again.
The user says "find the Longest Increasing Subsequence (LIS)", which could mean the actual sequence. However, the standard O(N log N) algorithm for LIS gives the length. But there's a way to reconstruct the sequence with O(N) space. However, that might require additional steps. Let me think. For example, during the process, we can track the indices. But perhaps the user is okay with just the length. Let me check the initial problem again. The user says "complete code", so maybe they want the code that returns the actual sequence. However, the standard approach with patience sorting gives the length. Let me check the standard approach.
Alternatively, perhaps the user is okay with
&lt;/think&gt;</t>
        </is>
      </c>
      <c r="H46" s="16" t="n"/>
      <c r="I46" s="16" t="n"/>
      <c r="J46" s="16" t="n"/>
      <c r="K46" s="16" t="n"/>
      <c r="L46" s="16">
        <f>IF(COUNT(H46:K46)&gt;0, SUM(H46:K46), "")</f>
        <v/>
      </c>
      <c r="M46" s="16" t="inlineStr">
        <is>
          <t>2026-09-16 12:35:54</t>
        </is>
      </c>
      <c r="N46" s="16" t="n">
        <v>43.339</v>
      </c>
      <c r="O46" s="16" t="n">
        <v>35.213</v>
      </c>
      <c r="P46" s="16" t="n">
        <v>1024</v>
      </c>
      <c r="Q46" s="16">
        <f>IF(AND(ISNUMBER(O46), O46&gt;0, ISNUMBER(P46)), ROUND(P46/O46, 2), IF(AND(ISNUMBER(N46), N46&gt;0, ISNUMBER(P46)), ROUND(P46/N46, 2), ""))</f>
        <v/>
      </c>
      <c r="R46" s="16" t="n">
        <v>5.35</v>
      </c>
      <c r="S46" s="16" t="inlineStr">
        <is>
          <t>Completed</t>
        </is>
      </c>
      <c r="T46" s="16" t="inlineStr">
        <is>
          <t>Pending</t>
        </is>
      </c>
      <c r="U46" s="15" t="inlineStr">
        <is>
          <t>data/responses/Q15_QWEN.json</t>
        </is>
      </c>
      <c r="V46" s="15" t="inlineStr">
        <is>
          <t>Reached max tokens limit (num_predict=1024)</t>
        </is>
      </c>
    </row>
    <row r="51">
      <c r="D51" s="17" t="inlineStr">
        <is>
          <t>Note: After each benchmark is done, it has automatically free VRAM to be ready for the next benchmark.</t>
        </is>
      </c>
    </row>
    <row r="52"/>
    <row r="53"/>
  </sheetData>
  <mergeCells count="1">
    <mergeCell ref="D51:U53"/>
  </mergeCells>
  <dataValidations count="3">
    <dataValidation sqref="H2:K46" showDropDown="0" showInputMessage="0" showErrorMessage="0" allowBlank="1" errorTitle="Invalid Score Range" error="Enter 0, 1, or 2 as per the rubric." promptTitle="Rubric Score" prompt="Score: 0, 1, or 2" type="whole">
      <formula1>0</formula1>
      <formula2>2</formula2>
    </dataValidation>
    <dataValidation sqref="S2:S46" showDropDown="0" showInputMessage="0" showErrorMessage="0" allowBlank="1" errorTitle="Invalid Completion Status" error="Choose from Completed, Timeout, OOM, Error" type="list">
      <formula1>"Completed,Timeout,OOM,Error"</formula1>
    </dataValidation>
    <dataValidation sqref="T2:T46" showDropDown="0" showInputMessage="0" showErrorMessage="0" allowBlank="1" errorTitle="Invalid Verification Status" error="Choose from Pending, Verified, Flagged" type="list">
      <formula1>"Pending,Verified,Flagged"</formula1>
    </dataValidation>
  </dataValidations>
  <pageMargins left="0.75" right="0.75" top="1" bottom="1" header="0.5" footer="0.5"/>
  <pageSetup orientation="portrait" paperSize="9" horizontalDpi="1200" verticalDpi="1200"/>
</worksheet>
</file>

<file path=xl/worksheets/sheet2.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4.4"/>
  <cols>
    <col width="24" customWidth="1" style="18" min="1" max="1"/>
    <col width="20" customWidth="1" style="18" min="2" max="2"/>
    <col width="22" customWidth="1" style="18" min="3" max="5"/>
  </cols>
  <sheetData>
    <row r="1" ht="24" customHeight="1" s="18">
      <c r="A1" s="4" t="inlineStr">
        <is>
          <t>Benchmarking Metrics Summary (Page 3 Calculations)</t>
        </is>
      </c>
    </row>
    <row r="3" ht="25.95" customHeight="1" s="18">
      <c r="A3" s="1" t="inlineStr">
        <is>
          <t>Model</t>
        </is>
      </c>
      <c r="B3" s="1" t="inlineStr">
        <is>
          <t>Fully Correct Rate (%)</t>
        </is>
      </c>
      <c r="C3" s="1" t="inlineStr">
        <is>
          <t>Average Quality Score (0-8)</t>
        </is>
      </c>
      <c r="D3" s="1" t="inlineStr">
        <is>
          <t>Average Response Time (s)</t>
        </is>
      </c>
      <c r="E3" s="1" t="inlineStr">
        <is>
          <t>Average Tokens/sec</t>
        </is>
      </c>
    </row>
    <row r="4" ht="22.05" customHeight="1" s="18">
      <c r="A4" s="5" t="inlineStr">
        <is>
          <t>phi4-mini-reasoning</t>
        </is>
      </c>
      <c r="B4" s="6">
        <f>ROUND(COUNTIFS('Scoring Register'!$C$2:$C$46, "phi4-mini-reasoning", 'Scoring Register'!$H$2:$H$46, 2) / 15 * 100, 1)</f>
        <v/>
      </c>
      <c r="C4" s="6">
        <f>IFERROR(ROUND(AVERAGEIF('Scoring Register'!$C$2:$C$46, "phi4-mini-reasoning", 'Scoring Register'!$L$2:$L$46), 2), "-")</f>
        <v/>
      </c>
      <c r="D4" s="6">
        <f>IFERROR(ROUND(AVERAGEIF('Scoring Register'!$C$2:$C$46, "phi4-mini-reasoning", 'Scoring Register'!$N$2:$N$46), 2), "-")</f>
        <v/>
      </c>
      <c r="E4" s="6">
        <f>IFERROR(ROUND(AVERAGEIF('Scoring Register'!$C$2:$C$46, "phi4-mini-reasoning", 'Scoring Register'!$Q$2:$Q$46), 2), "-")</f>
        <v/>
      </c>
    </row>
    <row r="5" ht="22.05" customHeight="1" s="18">
      <c r="A5" s="5" t="inlineStr">
        <is>
          <t>deepseek-r1:7b</t>
        </is>
      </c>
      <c r="B5" s="6">
        <f>ROUND(COUNTIFS('Scoring Register'!$C$2:$C$46, "deepseek-r1:7b", 'Scoring Register'!$H$2:$H$46, 2) / 15 * 100, 1)</f>
        <v/>
      </c>
      <c r="C5" s="6">
        <f>IFERROR(ROUND(AVERAGEIF('Scoring Register'!$C$2:$C$46, "deepseek-r1:7b", 'Scoring Register'!$L$2:$L$46), 2), "-")</f>
        <v/>
      </c>
      <c r="D5" s="6">
        <f>IFERROR(ROUND(AVERAGEIF('Scoring Register'!$C$2:$C$46, "deepseek-r1:7b", 'Scoring Register'!$N$2:$N$46), 2), "-")</f>
        <v/>
      </c>
      <c r="E5" s="6">
        <f>IFERROR(ROUND(AVERAGEIF('Scoring Register'!$C$2:$C$46, "deepseek-r1:7b", 'Scoring Register'!$Q$2:$Q$46), 2), "-")</f>
        <v/>
      </c>
    </row>
    <row r="6" ht="22.05" customHeight="1" s="18">
      <c r="A6" s="5" t="inlineStr">
        <is>
          <t>qwen3:8b</t>
        </is>
      </c>
      <c r="B6" s="6">
        <f>ROUND(COUNTIFS('Scoring Register'!$C$2:$C$46, "qwen3:8b", 'Scoring Register'!$H$2:$H$46, 2) / 15 * 100, 1)</f>
        <v/>
      </c>
      <c r="C6" s="6">
        <f>IFERROR(ROUND(AVERAGEIF('Scoring Register'!$C$2:$C$46, "qwen3:8b", 'Scoring Register'!$L$2:$L$46), 2), "-")</f>
        <v/>
      </c>
      <c r="D6" s="6">
        <f>IFERROR(ROUND(AVERAGEIF('Scoring Register'!$C$2:$C$46, "qwen3:8b", 'Scoring Register'!$N$2:$N$46), 2), "-")</f>
        <v/>
      </c>
      <c r="E6" s="6">
        <f>IFERROR(ROUND(AVERAGEIF('Scoring Register'!$C$2:$C$46, "qwen3:8b", 'Scoring Register'!$Q$2:$Q$46), 2), "-")</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4.4"/>
  <cols>
    <col width="24" customWidth="1" style="18" min="1" max="1"/>
    <col width="32" customWidth="1" style="18" min="2" max="2"/>
    <col width="35" customWidth="1" style="18" min="3" max="4"/>
  </cols>
  <sheetData>
    <row r="1" ht="24" customHeight="1" s="18">
      <c r="A1" s="4" t="inlineStr">
        <is>
          <t>Official Response Scoring Rubric (Project Plan Page 3)</t>
        </is>
      </c>
    </row>
    <row r="3" ht="24" customHeight="1" s="18">
      <c r="A3" s="7" t="inlineStr">
        <is>
          <t>Criterion</t>
        </is>
      </c>
      <c r="B3" s="7" t="inlineStr">
        <is>
          <t>2 Points</t>
        </is>
      </c>
      <c r="C3" s="7" t="inlineStr">
        <is>
          <t>1 Point</t>
        </is>
      </c>
      <c r="D3" s="7" t="inlineStr">
        <is>
          <t>0 Points</t>
        </is>
      </c>
    </row>
    <row r="4" ht="24" customHeight="1" s="18">
      <c r="A4" s="5" t="inlineStr">
        <is>
          <t>Final answer</t>
        </is>
      </c>
      <c r="B4" s="6" t="inlineStr">
        <is>
          <t>Correct</t>
        </is>
      </c>
      <c r="C4" s="6" t="inlineStr">
        <is>
          <t>Partly correct</t>
        </is>
      </c>
      <c r="D4" s="6" t="inlineStr">
        <is>
          <t>Incorrect</t>
        </is>
      </c>
    </row>
    <row r="5" ht="24" customHeight="1" s="18">
      <c r="A5" s="5" t="inlineStr">
        <is>
          <t>Reasoning quality</t>
        </is>
      </c>
      <c r="B5" s="6" t="inlineStr">
        <is>
          <t>Clear and logical</t>
        </is>
      </c>
      <c r="C5" s="6" t="inlineStr">
        <is>
          <t>Some unclear or missing steps</t>
        </is>
      </c>
      <c r="D5" s="6" t="inlineStr">
        <is>
          <t>Illogical or unsupported</t>
        </is>
      </c>
    </row>
    <row r="6" ht="24" customHeight="1" s="18">
      <c r="A6" s="5" t="inlineStr">
        <is>
          <t>Instruction following</t>
        </is>
      </c>
      <c r="B6" s="6" t="inlineStr">
        <is>
          <t>Fully follows the request</t>
        </is>
      </c>
      <c r="C6" s="6" t="inlineStr">
        <is>
          <t>Partly follows</t>
        </is>
      </c>
      <c r="D6" s="6" t="inlineStr">
        <is>
          <t>Does not follow</t>
        </is>
      </c>
    </row>
    <row r="7" ht="24" customHeight="1" s="18">
      <c r="A7" s="5" t="inlineStr">
        <is>
          <t>Factual support</t>
        </is>
      </c>
      <c r="B7" s="6" t="inlineStr">
        <is>
          <t>No invented claim</t>
        </is>
      </c>
      <c r="C7" s="6" t="inlineStr">
        <is>
          <t>Minor unsupported claim</t>
        </is>
      </c>
      <c r="D7" s="6" t="inlineStr">
        <is>
          <t>Major invented information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4.4"/>
  <cols>
    <col width="14" customWidth="1" style="18" min="1" max="1"/>
    <col width="24" customWidth="1" style="18" min="2" max="2"/>
    <col width="12" customWidth="1" style="18" min="3" max="3"/>
    <col width="52" customWidth="1" style="18" min="4" max="4"/>
    <col width="30" customWidth="1" style="18" min="5" max="5"/>
    <col width="45" customWidth="1" style="18" min="6" max="6"/>
  </cols>
  <sheetData>
    <row r="1" ht="24" customHeight="1" s="18">
      <c r="A1" s="4" t="inlineStr">
        <is>
          <t>Frozen 15-Question Benchmark &amp; Verified Answer Key (Project Plan Page 3 &amp; 4)</t>
        </is>
      </c>
    </row>
    <row r="2" ht="28.05" customHeight="1" s="18">
      <c r="A2" s="1" t="inlineStr">
        <is>
          <t>Question ID</t>
        </is>
      </c>
      <c r="B2" s="1" t="inlineStr">
        <is>
          <t>Category</t>
        </is>
      </c>
      <c r="C2" s="1" t="inlineStr">
        <is>
          <t>Difficulty</t>
        </is>
      </c>
      <c r="D2" s="1" t="inlineStr">
        <is>
          <t>Exact Prompt Wording</t>
        </is>
      </c>
      <c r="E2" s="1" t="inlineStr">
        <is>
          <t>Verified Final Answer</t>
        </is>
      </c>
      <c r="F2" s="1" t="inlineStr">
        <is>
          <t>Expected Key Reasoning Points</t>
        </is>
      </c>
    </row>
    <row r="3" ht="48" customHeight="1" s="18">
      <c r="A3" s="11" t="inlineStr">
        <is>
          <t>Q01</t>
        </is>
      </c>
      <c r="B3" s="12" t="inlineStr">
        <is>
          <t>Mathematical reasoning</t>
        </is>
      </c>
      <c r="C3" s="11" t="inlineStr">
        <is>
          <t>Easy</t>
        </is>
      </c>
      <c r="D3" s="20" t="inlineStr">
        <is>
          <t>Solve for x: 3x + 12 = 30. Show each step of your calculation clearly and state the final numerical value of x.</t>
        </is>
      </c>
      <c r="E3" s="8" t="n"/>
      <c r="F3" s="8" t="n"/>
    </row>
    <row r="4" ht="48" customHeight="1" s="18">
      <c r="A4" s="11" t="inlineStr">
        <is>
          <t>Q02</t>
        </is>
      </c>
      <c r="B4" s="12" t="inlineStr">
        <is>
          <t>Mathematical reasoning</t>
        </is>
      </c>
      <c r="C4" s="11" t="inlineStr">
        <is>
          <t>Easy</t>
        </is>
      </c>
      <c r="D4" s="20" t="inlineStr">
        <is>
          <t>A store offers a 20% discount on an item originally priced at $80. What is the final sale price? Show your work.</t>
        </is>
      </c>
      <c r="E4" s="8" t="n"/>
      <c r="F4" s="8" t="n"/>
    </row>
    <row r="5" ht="48" customHeight="1" s="18">
      <c r="A5" s="11" t="inlineStr">
        <is>
          <t>Q03</t>
        </is>
      </c>
      <c r="B5" s="12" t="inlineStr">
        <is>
          <t>Mathematical reasoning</t>
        </is>
      </c>
      <c r="C5" s="11" t="inlineStr">
        <is>
          <t>Medium</t>
        </is>
      </c>
      <c r="D5" s="20" t="inlineStr">
        <is>
          <t>Calculate the total number of trailing zeroes in 100! (100 factorial). Explain the mathematical reasoning behind your method.</t>
        </is>
      </c>
      <c r="E5" s="8" t="n"/>
      <c r="F5" s="8" t="n"/>
    </row>
    <row r="6" ht="48" customHeight="1" s="18">
      <c r="A6" s="11" t="inlineStr">
        <is>
          <t>Q04</t>
        </is>
      </c>
      <c r="B6" s="12" t="inlineStr">
        <is>
          <t>Mathematical reasoning</t>
        </is>
      </c>
      <c r="C6" s="11" t="inlineStr">
        <is>
          <t>Medium</t>
        </is>
      </c>
      <c r="D6" s="20" t="inlineStr">
        <is>
          <t>Find the next two numbers in the sequence: 2, 6, 12, 20, 30, ... Explain the underlying rule governing the pattern.</t>
        </is>
      </c>
      <c r="E6" s="8" t="n"/>
      <c r="F6" s="8" t="n"/>
    </row>
    <row r="7" ht="80" customHeight="1" s="18">
      <c r="A7" s="11" t="inlineStr">
        <is>
          <t>Q05</t>
        </is>
      </c>
      <c r="B7" s="12" t="inlineStr">
        <is>
          <t>Mathematical reasoning</t>
        </is>
      </c>
      <c r="C7" s="11" t="inlineStr">
        <is>
          <t>Hard</t>
        </is>
      </c>
      <c r="D7" s="20" t="inlineStr">
        <is>
          <t>Three fair standard six-sided dice are rolled simultaneously. What is the exact probability that the sum of the numbers rolled is equal to 10? Express your answer as a simplified fraction and explain each step.</t>
        </is>
      </c>
      <c r="E7" s="8" t="n"/>
      <c r="F7" s="8" t="n"/>
    </row>
    <row r="8" ht="64" customHeight="1" s="18">
      <c r="A8" s="11" t="inlineStr">
        <is>
          <t>Q06</t>
        </is>
      </c>
      <c r="B8" s="12" t="inlineStr">
        <is>
          <t>Logical reasoning</t>
        </is>
      </c>
      <c r="C8" s="11" t="inlineStr">
        <is>
          <t>Easy</t>
        </is>
      </c>
      <c r="D8" s="20" t="inlineStr">
        <is>
          <t>A farmer has 17 sheep, and all but 9 die. How many live sheep does the farmer have left? State your answer and briefly explain the logic.</t>
        </is>
      </c>
      <c r="E8" s="8" t="n"/>
      <c r="F8" s="8" t="n"/>
    </row>
    <row r="9" ht="64" customHeight="1" s="18">
      <c r="A9" s="11" t="inlineStr">
        <is>
          <t>Q07</t>
        </is>
      </c>
      <c r="B9" s="12" t="inlineStr">
        <is>
          <t>Logical reasoning</t>
        </is>
      </c>
      <c r="C9" s="11" t="inlineStr">
        <is>
          <t>Easy</t>
        </is>
      </c>
      <c r="D9" s="20" t="inlineStr">
        <is>
          <t>All roses are flowers. Some flowers fade quickly. Does it strictly follow that some roses fade quickly? Answer with 'Yes' or 'No' and provide a formal logical justification.</t>
        </is>
      </c>
      <c r="E9" s="8" t="n"/>
      <c r="F9" s="8" t="n"/>
    </row>
    <row r="10" ht="80" customHeight="1" s="18">
      <c r="A10" s="11" t="inlineStr">
        <is>
          <t>Q08</t>
        </is>
      </c>
      <c r="B10" s="12" t="inlineStr">
        <is>
          <t>Logical reasoning</t>
        </is>
      </c>
      <c r="C10" s="11" t="inlineStr">
        <is>
          <t>Medium</t>
        </is>
      </c>
      <c r="D10" s="20" t="inlineStr">
        <is>
          <t>Alice, Bob, and Charlie are sitting in a row. Alice is not on the far right. Bob is sitting to the immediate right of Alice. Who is sitting on the far left? Deduce the exact left-to-right seating arrangement step by step.</t>
        </is>
      </c>
      <c r="E10" s="8" t="n"/>
      <c r="F10" s="8" t="n"/>
    </row>
    <row r="11" ht="80" customHeight="1" s="18">
      <c r="A11" s="11" t="inlineStr">
        <is>
          <t>Q09</t>
        </is>
      </c>
      <c r="B11" s="12" t="inlineStr">
        <is>
          <t>Logical reasoning</t>
        </is>
      </c>
      <c r="C11" s="11" t="inlineStr">
        <is>
          <t>Medium</t>
        </is>
      </c>
      <c r="D11" s="20" t="inlineStr">
        <is>
          <t>You have a 3-liter jug and a 5-liter jug, and an unlimited supply of water. How can you measure out exactly 4 liters using only these two jugs without any measuring scales? Detail every pour step.</t>
        </is>
      </c>
      <c r="E11" s="8" t="n"/>
      <c r="F11" s="8" t="n"/>
    </row>
    <row r="12" ht="96" customHeight="1" s="18">
      <c r="A12" s="11" t="inlineStr">
        <is>
          <t>Q10</t>
        </is>
      </c>
      <c r="B12" s="12" t="inlineStr">
        <is>
          <t>Logical reasoning</t>
        </is>
      </c>
      <c r="C12" s="11" t="inlineStr">
        <is>
          <t>Hard</t>
        </is>
      </c>
      <c r="D12" s="20" t="inlineStr">
        <is>
          <t>On an island, inhabitants are either Knights (who always tell the truth) or Knaves (who always lie). You meet two inhabitants, A and B. A says: 'At least one of us is a Knave.' Determine precisely what A is and what B is. Provide a rigorous proof by cases.</t>
        </is>
      </c>
      <c r="E12" s="8" t="n"/>
      <c r="F12" s="8" t="n"/>
    </row>
    <row r="13" ht="80" customHeight="1" s="18">
      <c r="A13" s="11" t="inlineStr">
        <is>
          <t>Q11</t>
        </is>
      </c>
      <c r="B13" s="12" t="inlineStr">
        <is>
          <t>Programming reasoning</t>
        </is>
      </c>
      <c r="C13" s="11" t="inlineStr">
        <is>
          <t>Easy</t>
        </is>
      </c>
      <c r="D13" s="20" t="inlineStr">
        <is>
          <t>Write a clean Python function `is_palindrome(s: str) -&gt; bool` that checks if a string is a palindrome, ignoring non-alphanumeric characters and case. Provide a brief trace of why it works.</t>
        </is>
      </c>
      <c r="E13" s="8" t="n"/>
      <c r="F13" s="8" t="n"/>
    </row>
    <row r="14" ht="128" customHeight="1" s="18">
      <c r="A14" s="11" t="inlineStr">
        <is>
          <t>Q12</t>
        </is>
      </c>
      <c r="B14" s="12" t="inlineStr">
        <is>
          <t>Programming reasoning</t>
        </is>
      </c>
      <c r="C14" s="11" t="inlineStr">
        <is>
          <t>Easy</t>
        </is>
      </c>
      <c r="D14" s="20" t="inlineStr">
        <is>
          <t>Trace the execution of this Python code snippet and determine the exact printed output:
x = [1, 2, 3]
y = x
y.append(4)
print(len(x), x == y)
Explain why `len(x)` is affected.</t>
        </is>
      </c>
      <c r="E14" s="8" t="n"/>
      <c r="F14" s="8" t="n"/>
    </row>
    <row r="15" ht="224" customHeight="1" s="18">
      <c r="A15" s="11" t="inlineStr">
        <is>
          <t>Q13</t>
        </is>
      </c>
      <c r="B15" s="12" t="inlineStr">
        <is>
          <t>Programming reasoning</t>
        </is>
      </c>
      <c r="C15" s="11" t="inlineStr">
        <is>
          <t>Medium</t>
        </is>
      </c>
      <c r="D15" s="20" t="inlineStr">
        <is>
          <t>Identify the bug in the following binary search implementation and explain how to fix it:
def binary_search(arr, target):
    low = 0
    high = len(arr)
    while low &lt; high:
        mid = (low + high) // 2
        if arr[mid] == target:
            return mid
        elif arr[mid] &lt; target:
            low = mid
        else:
            high = mid - 1
    return -1</t>
        </is>
      </c>
      <c r="E15" s="8" t="n"/>
      <c r="F15" s="8" t="n"/>
    </row>
    <row r="16" ht="80" customHeight="1" s="18">
      <c r="A16" s="11" t="inlineStr">
        <is>
          <t>Q14</t>
        </is>
      </c>
      <c r="B16" s="12" t="inlineStr">
        <is>
          <t>Programming reasoning</t>
        </is>
      </c>
      <c r="C16" s="11" t="inlineStr">
        <is>
          <t>Medium</t>
        </is>
      </c>
      <c r="D16" s="20" t="inlineStr">
        <is>
          <t>Describe Floyd's Cycle-Finding Algorithm (Tortoise and Hare) for detecting a loop in a singly linked list. Explain why the time complexity is O(N) and the auxiliary space complexity is O(1).</t>
        </is>
      </c>
      <c r="E16" s="8" t="n"/>
      <c r="F16" s="8" t="n"/>
    </row>
    <row r="17" ht="96" customHeight="1" s="18">
      <c r="A17" s="11" t="inlineStr">
        <is>
          <t>Q15</t>
        </is>
      </c>
      <c r="B17" s="12" t="inlineStr">
        <is>
          <t>Programming reasoning</t>
        </is>
      </c>
      <c r="C17" s="11" t="inlineStr">
        <is>
          <t>Hard</t>
        </is>
      </c>
      <c r="D17" s="20" t="inlineStr">
        <is>
          <t>Propose an optimal algorithm in Python to find the Longest Increasing Subsequence (LIS) in O(N log N) time complexity using patience sorting / binary search. Provide the complete code, step-by-step invariant explanation, and complexity analysis.</t>
        </is>
      </c>
      <c r="E17" s="8" t="n"/>
      <c r="F17" s="8"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2026-09-16T03:45:50Z</dcterms:created>
  <dcterms:modified xmlns:dcterms="http://purl.org/dc/terms/" xmlns:xsi="http://www.w3.org/2001/XMLSchema-instance" xsi:type="dcterms:W3CDTF">2026-09-16T05:38:00Z</dcterms:modified>
  <cp:lastModifiedBy>User</cp:lastModifiedBy>
</cp:coreProperties>
</file>