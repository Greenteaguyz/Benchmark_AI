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mc:AlternateContent xmlns:mc="http://schemas.openxmlformats.org/markup-compatibility/2006">
    <mc:Choice Requires="x15">
      <x15ac:absPath xmlns:x15ac="http://schemas.microsoft.com/office/spreadsheetml/2010/11/ac" url="C:\Users\User\Downloads\AI_Project\evaluation\"/>
    </mc:Choice>
  </mc:AlternateContent>
  <xr:revisionPtr revIDLastSave="0" documentId="13_ncr:1_{05A0E72F-6C85-473B-8E40-3C30F0306084}" xr6:coauthVersionLast="47" xr6:coauthVersionMax="47" xr10:uidLastSave="{00000000-0000-0000-0000-000000000000}"/>
  <bookViews>
    <workbookView xWindow="-108" yWindow="-108" windowWidth="30936" windowHeight="18696" xr2:uid="{00000000-000D-0000-FFFF-FFFF00000000}"/>
  </bookViews>
  <sheets>
    <sheet name="Scoring Register" sheetId="1" r:id="rId1"/>
    <sheet name="Summary Dashboard" sheetId="2" r:id="rId2"/>
    <sheet name="Rubric Guide" sheetId="3" r:id="rId3"/>
    <sheet name="Question Bank &amp; Key"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E6" i="2" l="1"/>
  <c r="D6" i="2"/>
  <c r="C6" i="2"/>
  <c r="B6" i="2"/>
  <c r="E5" i="2"/>
  <c r="D5" i="2"/>
  <c r="C5" i="2"/>
  <c r="B5" i="2"/>
  <c r="E4" i="2"/>
  <c r="D4" i="2"/>
  <c r="C4" i="2"/>
  <c r="B4" i="2"/>
  <c r="Q46" i="1"/>
  <c r="L46" i="1"/>
  <c r="F46" i="1"/>
  <c r="Q45" i="1"/>
  <c r="L45" i="1"/>
  <c r="F45" i="1"/>
  <c r="Q44" i="1"/>
  <c r="L44" i="1"/>
  <c r="F44" i="1"/>
  <c r="Q43" i="1"/>
  <c r="L43" i="1"/>
  <c r="F43" i="1"/>
  <c r="Q42" i="1"/>
  <c r="L42" i="1"/>
  <c r="F42" i="1"/>
  <c r="Q41" i="1"/>
  <c r="L41" i="1"/>
  <c r="F41" i="1"/>
  <c r="Q40" i="1"/>
  <c r="L40" i="1"/>
  <c r="F40" i="1"/>
  <c r="Q39" i="1"/>
  <c r="L39" i="1"/>
  <c r="F39" i="1"/>
  <c r="Q38" i="1"/>
  <c r="L38" i="1"/>
  <c r="F38" i="1"/>
  <c r="Q37" i="1"/>
  <c r="L37" i="1"/>
  <c r="F37" i="1"/>
  <c r="Q36" i="1"/>
  <c r="L36" i="1"/>
  <c r="F36" i="1"/>
  <c r="Q35" i="1"/>
  <c r="L35" i="1"/>
  <c r="F35" i="1"/>
  <c r="Q34" i="1"/>
  <c r="L34" i="1"/>
  <c r="F34" i="1"/>
  <c r="Q33" i="1"/>
  <c r="L33" i="1"/>
  <c r="F33" i="1"/>
  <c r="Q32" i="1"/>
  <c r="L32" i="1"/>
  <c r="F32" i="1"/>
  <c r="Q31" i="1"/>
  <c r="L31" i="1"/>
  <c r="F31" i="1"/>
  <c r="Q30" i="1"/>
  <c r="L30" i="1"/>
  <c r="F30" i="1"/>
  <c r="Q29" i="1"/>
  <c r="L29" i="1"/>
  <c r="F29" i="1"/>
  <c r="Q28" i="1"/>
  <c r="L28" i="1"/>
  <c r="F28" i="1"/>
  <c r="Q27" i="1"/>
  <c r="L27" i="1"/>
  <c r="F27" i="1"/>
  <c r="Q26" i="1"/>
  <c r="L26" i="1"/>
  <c r="F26" i="1"/>
  <c r="Q25" i="1"/>
  <c r="L25" i="1"/>
  <c r="F25" i="1"/>
  <c r="Q24" i="1"/>
  <c r="L24" i="1"/>
  <c r="F24" i="1"/>
  <c r="Q23" i="1"/>
  <c r="L23" i="1"/>
  <c r="F23" i="1"/>
  <c r="Q22" i="1"/>
  <c r="L22" i="1"/>
  <c r="F22" i="1"/>
  <c r="Q21" i="1"/>
  <c r="L21" i="1"/>
  <c r="F21" i="1"/>
  <c r="Q20" i="1"/>
  <c r="L20" i="1"/>
  <c r="F20" i="1"/>
  <c r="Q19" i="1"/>
  <c r="L19" i="1"/>
  <c r="F19" i="1"/>
  <c r="Q18" i="1"/>
  <c r="L18" i="1"/>
  <c r="F18" i="1"/>
  <c r="Q17" i="1"/>
  <c r="L17" i="1"/>
  <c r="F17" i="1"/>
  <c r="Q16" i="1"/>
  <c r="L16" i="1"/>
  <c r="F16" i="1"/>
  <c r="Q15" i="1"/>
  <c r="L15" i="1"/>
  <c r="F15" i="1"/>
  <c r="Q14" i="1"/>
  <c r="L14" i="1"/>
  <c r="F14" i="1"/>
  <c r="Q13" i="1"/>
  <c r="L13" i="1"/>
  <c r="F13" i="1"/>
  <c r="Q12" i="1"/>
  <c r="L12" i="1"/>
  <c r="F12" i="1"/>
  <c r="Q11" i="1"/>
  <c r="L11" i="1"/>
  <c r="F11" i="1"/>
  <c r="Q10" i="1"/>
  <c r="L10" i="1"/>
  <c r="F10" i="1"/>
  <c r="Q9" i="1"/>
  <c r="L9" i="1"/>
  <c r="F9" i="1"/>
  <c r="Q8" i="1"/>
  <c r="L8" i="1"/>
  <c r="F8" i="1"/>
  <c r="Q7" i="1"/>
  <c r="L7" i="1"/>
  <c r="F7" i="1"/>
  <c r="Q6" i="1"/>
  <c r="L6" i="1"/>
  <c r="F6" i="1"/>
  <c r="Q5" i="1"/>
  <c r="L5" i="1"/>
  <c r="F5" i="1"/>
  <c r="Q4" i="1"/>
  <c r="L4" i="1"/>
  <c r="F4" i="1"/>
  <c r="Q3" i="1"/>
  <c r="L3" i="1"/>
  <c r="F3" i="1"/>
  <c r="Q2" i="1"/>
  <c r="L2" i="1"/>
  <c r="F2" i="1"/>
</calcChain>
</file>

<file path=xl/sharedStrings.xml><?xml version="1.0" encoding="utf-8"?>
<sst xmlns="http://schemas.openxmlformats.org/spreadsheetml/2006/main" count="557" uniqueCount="245">
  <si>
    <t>Response ID</t>
  </si>
  <si>
    <t>Question ID</t>
  </si>
  <si>
    <t>Model</t>
  </si>
  <si>
    <t>Category</t>
  </si>
  <si>
    <t>Difficulty</t>
  </si>
  <si>
    <t>Prompt Used</t>
  </si>
  <si>
    <t>Complete Response</t>
  </si>
  <si>
    <t>Final Answer (0–2)</t>
  </si>
  <si>
    <t>Reasoning Quality (0–2)</t>
  </si>
  <si>
    <t>Instruction Following (0–2)</t>
  </si>
  <si>
    <t>Factual Support (0–2)</t>
  </si>
  <si>
    <t>Total Score (0–8)</t>
  </si>
  <si>
    <t>Date &amp; Start Time</t>
  </si>
  <si>
    <t>Total Duration (s)</t>
  </si>
  <si>
    <t>Generation Duration (s)</t>
  </si>
  <si>
    <t>Output Tokens</t>
  </si>
  <si>
    <t>Tokens/sec</t>
  </si>
  <si>
    <t>Peak VRAM (GB)</t>
  </si>
  <si>
    <t>Completion Status</t>
  </si>
  <si>
    <t>Verification Status</t>
  </si>
  <si>
    <t>Evidence Reference</t>
  </si>
  <si>
    <t>Evaluator Notes</t>
  </si>
  <si>
    <t>Q01_PHI</t>
  </si>
  <si>
    <t>Q01</t>
  </si>
  <si>
    <t>phi4-mini-reasoning</t>
  </si>
  <si>
    <t>Mathematical reasoning</t>
  </si>
  <si>
    <t>Easy</t>
  </si>
  <si>
    <t>[FINAL ANSWER]
To solve the equation \(3x + 12 = 30\) for \(x\):
1. **Subtract 12 from both sides** to isolate the term with \(x\):
   \[
   3x + 12 - 12 = 30 - 12
   \]
   Simplifying:
   \[
   3x = 18
   \]
2. **Divide both sides by 3** to solve for \(x\):
   \[
   \frac{3x}{3} = \frac{18}{3}
   \]
   Simplifying:
   \[
   x = 6
   \]
**Verification**: Substitute \(x = 6\) back into the original equation:
\[
3(6) + 12 = 18 + 12 = 30
\]
The left side equals the right side, confirming the solution is correct.
**Final numerical value of \(x\)**: \(\boxed{6}\)
[THINKING PROCESS (&lt;think&gt;)]
Okay, so I need to solve the equation 3x + 12 = 30 for x. Let me think about how to approach this step by step. Alright, first, I remember that to solve for a variable like x, I need to isolate it on one side of the equation. That means getting rid of the constants and the coefficient that is multiplied by x.
The equation here is 3x plus 12 equals 30. So, 3x + 12 = 30. The first thing I should do is try to get rid of that 12 that's being added to 3x. To do that, I can subtract 12 from both sides of the equation. That way, I maintain the equality because whatever I do to one side, I do to the other. So subtracting 12 from both sides makes sense.
Let me write that down: 3x + 12 - 12 = 30 - 12. Simplifying both sides, the +12 and -12 on the left side cancel each other out, leaving just 3x. On the right side, 30 minus 12 is 18. So now the equation is 3x = 18. 
Okay, now I need to solve for x, which is multiplied by 3. To get x by itself, I should divide both sides of the equation by 3. That will undo the multiplication by 3. So dividing both sides by 3: 3x divided by 3 is x, and 18 divided by 3 is 6. Therefore, x equals 6. 
Wait, let me check my steps again to make sure I didn't make a mistake. Starting with the original equation: 3x +12 =30. Subtract 12 from both sides: 3x = 18. Then divide by 3: x=6. That seems right. Maybe I can plug the value back into the original equation to verify. 
Plugging x=6 into the left side: 3*(6) +12 = 18 +12 =30, which matches the right side of the equation. So that checks out. Hmm, yeah, that makes sense. So the solution is x=6. I think that's correct. No steps seem to be missing, and the arithmetic is straightforward. Yeah, I'm confident that's the right answer.</t>
  </si>
  <si>
    <t>2026-09-16 11:49:08</t>
  </si>
  <si>
    <t>Completed</t>
  </si>
  <si>
    <t>Pending</t>
  </si>
  <si>
    <t>data/responses/Q01_PHI.json</t>
  </si>
  <si>
    <t>Q01_DSR1</t>
  </si>
  <si>
    <t>deepseek-r1:7b</t>
  </si>
  <si>
    <t>[FINAL ANSWER]
To solve the equation \( 3x + 12 = 30 \) for \( x \), follow these steps:
1. **Subtract 12 from both sides** to isolate the term with \( x \):
   \[
   3x + 12 - 12 = 30 - 12
   \]
   Simplifying:
   \[
   3x = 18
   \]
2. **Divide both sides by 3** to solve for \( x \):
   \[
   \frac{3x}{3} = \frac{18}{3}
   \]
   Simplifying:
   \[
   x = 6
   \]
**Final Answer:**
\[
\boxed{6}
\]
[THINKING PROCESS (&lt;think&gt;)]
First, I need to solve the equation 3x + 12 = 30 for x.
I'll start by isolating the term with x. To do this, I'll subtract 12 from both sides of the equation.
This simplifies the equation to 3x = 18.
Next, I'll solve for x by dividing both sides by 3.
Finally, I find that x equals 6.</t>
  </si>
  <si>
    <t>2026-09-16 11:43:48</t>
  </si>
  <si>
    <t>data/responses/Q01_DSR1.json</t>
  </si>
  <si>
    <t>Q01_QWEN</t>
  </si>
  <si>
    <t>qwen3:8b</t>
  </si>
  <si>
    <t>[FINAL ANSWER]
To solve the equation $ 3x + 12 = 30 $, we aim to isolate the variable $ x $ step by step.
---
### **Step 1: Subtract 12 from both sides**
We begin by eliminating the constant term on the left-hand side. To do this, subtract 12 from both sides of the equation:
$$
3x + 12 - 12 = 30 - 12
$$
Simplifying both sides:
$$
3x = 18
$$
---
### **Step 2: Divide both sides by 3**
Now, to isolate $ x $, divide both sides of the equation by 3:
$$
\frac{3x}{3} = \frac{18}{3}
$$
Simplifying:
$$
x = 6
$$
---
### **Final Answer**
$$
\boxed{6}
$$
[THINKING PROCESS (&lt;think&gt;)]
Okay, so I need to solve the equation 3x + 12 = 30 for x. Let me think about how to approach this. I remember that solving an equation like this usually involves isolating the variable, which in this case is x. 
First, I should get rid of that constant term on the left side, which is +12. To do that, I can subtract 12 from both sides of the equation. That way, I keep the equation balanced. Let me write that down:
3x + 12 - 12 = 30 - 12
Simplifying both sides, the +12 and -12 on the left side cancel each other out, leaving just 3x. On the right side, 30 minus 12 is 18. So now the equation is:
3x = 18
Alright, now I need to get x by itself. Since 3 is multiplied by x, I should divide both sides by 3 to undo that multiplication. Let me do that step:
3x / 3 = 18 / 3
Simplifying again, the 3's on the left side cancel out, leaving just x. On the right side, 18 divided by 3 is 6. So that gives me:
x = 6
Wait, let me check if that makes sense. If I plug x = 6 back into the original equation, does it hold true?
Original equation: 3x + 12 = 30
Substitute x with 6: 3*(6) + 12 = 18 + 12 = 30. Yep, that equals 30, which matches the right side of the equation. So it looks like x = 6 is the correct solution.
Hmm, did I miss any steps? Let me go through it again. Starting with 3x + 12 = 30. Subtract 12 from both sides: 3x = 18. Divide by 3: x = 6. Yep, that seems straightforward. I don't think I made any mistakes here. The key steps were subtracting 12 first and then dividing by 3. It's important to perform the same operation on both sides to maintain equality. 
Another way to think about it might be to first divide all terms by 3, but that might complicate things because of the +12. Let me try that approach just to verify. If I divide every term by 3:
(3x)/3 + 12/3 = 30/3
Which simplifies to x + 4 = 10. Then subtract 4 from both sides: x = 10 - 4 = 6. Oh, that works too! So whether I subtract first or divide first, I still end up with x = 6. That gives me more confidence that the answer is correct. 
So both methods lead to the same result. It's good to check using different methods to ensure consistency. I think that's all there is to it. The solution is x equals 6.</t>
  </si>
  <si>
    <t>2026-09-16 11:36:45</t>
  </si>
  <si>
    <t>data/responses/Q01_QWEN.json</t>
  </si>
  <si>
    <t>Q02_PHI</t>
  </si>
  <si>
    <t>Q02</t>
  </si>
  <si>
    <t>[FINAL ANSWER]
The original price of the item is $80. A 20% discount means you save 20% of $80, which is calculated as:  
\[
80 \times 0.20 = 16
\]  
Subtracting this discount from the original price gives:  
\[
80 - 16 = 64
\]  
Alternatively, the final price is \(80\% \times 80\):  
\[
80 \times 0.80 = 64
\]  
**Final sale price:** \boxed{64}
[THINKING PROCESS (&lt;think&gt;)]
Okay, let's see. The problem is about calculating the final sale price of an item after a 20% discount. The original price is $80. Hmm, right. So, first, I need to figure out what 20% of $80 is, and then subtract that from the original price to get the sale price.
Wait, percentage discounts... Yeah, so 20% off means you pay 80% of the original price, right? Or do you calculate the discount amount first and then subtract? Maybe both ways work. Let me think. Either way, the result should be the same. Let me try both methods to check.
Method 1: Calculate the discount amount and subtract it from the original price. So, 20% of $80 is the discount. To find 20% of 80, I can convert 20% to a decimal, which is 0.20. Then multiply 80 by 0.20. Let me do that: 80 * 0.20. Hmm, 80 times 0.2 is 16. So the discount is $16. Then subtract that from $80: 80 - 16 = 64. So the sale price is $64.
Method 2: If the discount is 20%, then the customer pays 80% of the original price. So, 80% of 80. Converting 80% to decimal is 0.80. Multiply 80 by 0.80: 80 * 0.80. Well, 80 times 0.8 is also 64. Same result. Okay, that checks out.
Wait, just to make sure I didn't make a calculation mistake. Let me verify the multiplication again. 80 times 0.2: 0.2 is the same as 1/5. So 80 divided by 5 is 16. Yep, that's right. Then 80 minus 16 is 64. Correct. Alternatively, 0.8 times 80: 80 times 0.8. 8 times 8 is 64, so 80 times 0.8 is 64. Yep, that's consistent.
So both methods lead to the same answer, $64. That seems right. I don't think I missed anything here. The problem is straightforward—a 20% discount on an $80 item. No additional taxes or fees mentioned, so the final sale price should be $64.</t>
  </si>
  <si>
    <t>2026-09-16 11:49:55</t>
  </si>
  <si>
    <t>data/responses/Q02_PHI.json</t>
  </si>
  <si>
    <t>Q02_DSR1</t>
  </si>
  <si>
    <t>[FINAL ANSWER]
To determine the final sale price after applying a 20% discount to an item originally priced at \$80, follow these steps:
1. **Calculate the Discount Amount:**
   \[
   \text{Discount} = \text{Original Price} \times \text{Discount Rate} = 80 \times 0.20 = 16
   \]
2. **Subtract the Discount from the Original Price:**
   \[
   \text{Final Sale Price} = \text{Original Price} - \text{Discount} = 80 - 16 = 64
   \]
**Final Answer:**
\[
\boxed{64}
\]
[THINKING PROCESS (&lt;think&gt;)]
First, I need to calculate the discount amount by finding 20% of the original price of $80.
Next, I'll subtract the discount from the original price to determine the final sale price.</t>
  </si>
  <si>
    <t>2026-09-16 11:44:32</t>
  </si>
  <si>
    <t>data/responses/Q02_DSR1.json</t>
  </si>
  <si>
    <t>Q02_QWEN</t>
  </si>
  <si>
    <t>&lt;think&gt;
Okay, let's see. The problem is about finding the final sale price of an item after a 20% discount. The original price is $80. Hmm, discounts can sometimes be tricky, but I think I can figure this out step by step.
First, I need to remember how discounts work. A 20% discount means that the customer pays 80% of the original price, right? Because if you take away 20%, you're left with 100% - 20% = 80%. So instead of calculating the discount amount and subtracting it from the original price, maybe I can just calculate 80% of $80. Let me confirm that.
Alternatively, I could calculate the discount amount first. Let me try both methods to check if they give the same result. That way, I can be sure I'm not making a mistake.
Starting with the first method: calculating 80% of $80. To find 80% of something, I can convert the percentage to a decimal by dividing by 100. So 80% becomes 0.80. Then multiply that by the original price.
So, 0.80 * $80. Let me do that multiplication. 0.8 times 80. Hmm, 0.8 is the same as 4/5, right? So 4/5 of 80. Well, 80 divided by 5 is 16, and 16 times 4 is 64. So that would be $64. Let me check with decimal multiplication.
Alternatively, 80 * 0.8. Breaking it down: 80 * 0.8 is the same as 80 * 8 * 0.1. 80 * 8 is 640, and 640 * 0.1 is 64. Yep, same result. So that seems straightforward.
Now, let me try the other method: calculating the discount amount first. A 20% discount on $80. So 20% of $80 is 0.20 * 80. Let me compute that. 0.2 times 80 is 16. So the discount is $16. Then subtract that from the original price: $80 - $16 = $64. Same answer. Okay, that's reassuring.
Wait, just to make sure I didn't mix up any numbers. Let me verify once again. Original price is $80. 20% off. So 20% of 80 is indeed 16. Subtract 16 from 80, which gives 64. Alternatively, 80% of 80 is 64. Both methods lead to the same result. So the final sale price should be $64.
Is there another way to think about this? Maybe using fractions? Let's see. 20% is 1/5. So 1/5 of 80 is 16, as before. Therefore, subtracting 1/5 from the original price, which is 80 - 16 = 64. Yep, same thing.
Alternatively, if I wanted to use proportions. Let me try that. If 20% corresponds to $16, then 100% corresponds to $80. Wait, that's the original price. Maybe that's not helpful. Alternatively, setting up a proportion where the discount is 20% of the original price. So, discount amount / original price = 20% / 100%. Therefore, discount amount = (20/100)*80 = 16. Again, same result.
I think all methods are converging to $64. Let me just check if there's any chance I made a calculation error. For example, if I thought 20% was 0.2, which it is, and 0.2 times 80 is 16. Yes. Then 80 minus 16 is 64. Alternatively, if I thought 20% was 0.2, and multiplied by 80, getting 16. So, no, that seems correct.
Another way to think about percentages: 10% of 80 is 8, so 20% is double that, which is 16. Therefore, subtracting 16 from 80 gives 64. Yep, that works too.
I think I've verified this multiple times using different methods: decimal multiplication, fraction conversion, proportion, and breaking down percentages into smaller parts. All of them lead to the same answer. Therefore, I can be confident that the final sale price after
&lt;/think&gt;</t>
  </si>
  <si>
    <t>2026-09-16 11:39:17</t>
  </si>
  <si>
    <t>data/responses/Q02_QWEN.json</t>
  </si>
  <si>
    <t>Reached max tokens limit (num_predict=1024)</t>
  </si>
  <si>
    <t>Q03_PHI</t>
  </si>
  <si>
    <t>Q03</t>
  </si>
  <si>
    <t>Medium</t>
  </si>
  <si>
    <t>[FINAL ANSWER]
To calculate the total number of trailing zeroes in \(100!\) (100 factorial), we need to determine the number of times 10 is a factor in the factorial. Since 10 is the product of 2 and 5,
[THINKING PROCESS (&lt;think&gt;)]
Okay, so I need to figure out how many trailing zeros are in 100 factorial. Hmm, trailing zeros are the zeros at the end of the number right? Like, if the number ends with ...00, how many of those zeros are there? For example, 100 has two trailing zeros, right? But 100 factorial is a huge number. How do I even begin to calculate that?
Wait, I remember something about factors contributing to trailing zeros. Since trailing zeros come from multiplying numbers that result in 10s, and 10 is 2 times 5. So each pair of 2 and 5 in the prime factors of 100! would contribute to a trailing zero. But there are usually more 2s than 5s in a factorial, so the number of trailing zeros should be determined by the number of 5s. Is that right?
Let me check. For example, in 10!, the number of 5s would be 10/5 = 2, and the number of 2s would be 10/2 = 5, 10/4 = 5, 10/8 = 5, 10/6 = 1, etc. Wait, actually, the formula for counting the number of times a prime number p divides into n! is the sum of n divided by p, n divided by p squared, n divided by p cubed, and so on, until the division results in zero. So for 2s in 10!: 10/2 = 5, 10/4 = 2, 10/6 = 1, 10/8 = 1, 10/10 = 1. Adding those up: 5 + 2 + 1 + 0.5? Wait, no, it has to be integer division. So each time you divide n by p^k and take the floor. So for 10/2 = 5, 10/4 = 2 (since 10 divided by 4 is 2.5, floor to 2), 10/8 = 1, 10/16 = 0. So total 5 + 2 + 1 = 8. For 5s: 10/5 = 2, 10/25 = 0. So total 2. So trailing zeros would be 2. But 10! is 3628800, which has 2 trailing zeros. So that works. So the number of trailing zeros is the minimum of the number of 2s and 5s. Since 5s are less, we take the number of 5s.
Therefore, for 100!, the number of trailing zeros is the number of times 5 is a factor in 100!.
So how do we calculate the number of 5s in 100!?
Using the formula: sum_{k=1 to infinity} floor(100 / 5^k)
Compute each term:
First term: floor(100 / 5) = floor(20) = 20
Second term: floor(100 / 25) = floor(4) = 4
Third term: floor(100 / 125) = floor(0.8) = 0
So higher powers will also result in zero. So total number of 5s is 20 + 4 = 24.
Similarly, number of 2s would be more, but as we only need the minimum, which is 24.
Therefore, the total number of trailing zeros in 100! is 24.
Wait, let me verify this with a smaller factorial where I know the answer. Let's take 25!.
Number of 5s: floor(25/5) = 5, floor(25/25) = 1, floor(25/125)=0. So total 6.
Number of 2s: floor(25/2)=12, floor(25/4)=6, floor(25/8)=3, floor(25/16)=1, rest zero. Total 12+6+3+1=22.
So trailing zeros should be 6. Let's check 25! value. 25! is 15511210043330985984000000. Wait, how many zeros is that? Let me count from the end: ...84000000. So starting from the end, 6 zeros. Yes, that's correct. So the method works.
Therefore, applying the same logic to 100! gives 24 trailing zeros. So the answer should be 24.
**Final Answer**
The total number of trailing zeroes in 100! is \boxed{24}.</t>
  </si>
  <si>
    <t>2026-09-16 11:50:51</t>
  </si>
  <si>
    <t>data/responses/Q03_PHI.json</t>
  </si>
  <si>
    <t>Q03_DSR1</t>
  </si>
  <si>
    <t>&lt;think&gt;
Okay, so I need to figure out how many trailing zeros are in 100 factorial, which is written as 100!. Hmm, I remember that trailing zeros are the zeros at the end of a number, right? Like, for example, 100! is a huge number, and it ends with several zeros. But how do I calculate exactly how many?
I think it has something to do with how many times the number 10 is a factor in 100!. Because every time 10 is a factor, it adds a zero at the end. So, if I can find how many times 10 is a factor in 100!, that should give me the number of trailing zeros. But wait, 10 is 2 multiplied by 5, so maybe I need to find how many pairs of 2s and 5s are in the prime factors of 100!.
But hold on, in any factorial, there are usually more 2s than 5s. So, the number of 5s will determine the number of trailing zeros. That makes sense because 2s are more common. So, I just need to count how many times 5 is a factor in the numbers from 1 to 100.
How do I do that? I think it's by dividing 100 by 5 and then taking the floor of that result. Let me try that. 100 divided by 5 is 20. So, does that mean there are 20 trailing zeros? Wait, no, that can't be right because I remember that sometimes numbers like 25, 50, 75, and 100 contribute more than one 5. So, I need to account for those as well.
Right, because 25 is 5 squared, so it contributes two 5s, and similarly, 50 is 5 times 10, which is 5 times 2 times 5, so that's two 5s as well. So, I need to not only divide by 5 but also divide by 25 to account for those extra 5s.
So, let me calculate that. 100 divided by 5 is 20, and 100 divided by 25 is 4. So, adding those together, 20 plus 4 is 24. Hmm, so does that mean there are 24 trailing zeros? But wait, is that all? What about higher powers of 5, like 125? But 125 is greater than 100, so it won't contribute anything. So, I think 24 is the correct number.
Let me verify this. So, in 100!, the number of 5s is the sum of 100 divided by 5, 100 divided by 25, 100 divided by 125, and so on. Since 125 is larger than 100, we can stop at 25. So, 100/5 is 20, 100/25 is 4, and 100/125 is 0. So, adding 20 and 4 gives 24. Therefore, there are 24 trailing zeros in 100!.
But just to make sure I didn't make a mistake, let me think about a smaller factorial, like 25!. How many trailing zeros does that have? Using the same method, 25 divided by 5 is 5, and 25 divided by 25 is 1. So, 5 plus 1 is 6 trailing zeros. Let me check that. 25! is 15511210043330985984000000. Wait, actually, I think 25! has 6 trailing zeros. Yeah, that seems right. So, my method works for 25!.
Another example: 50!. 50 divided by 5 is 10, 50 divided by 25 is 2, and 50 divided by 125 is 0. So, 10 plus 2 is 12 trailing zeros. Let me see, 50! is a huge number, but I think it does end with 12 zeros. So, that seems correct.
Therefore, applying the same logic to 100!, it should have 24 trailing zeros. So, I think I can confidently say that the number of trailing zeros in 100! is 24.
**Final Answer**
The total number of trailing zeroes in 100! is \
&lt;/think&gt;</t>
  </si>
  <si>
    <t>2026-09-16 11:45:34</t>
  </si>
  <si>
    <t>data/responses/Q03_DSR1.json</t>
  </si>
  <si>
    <t>Q03_QWEN</t>
  </si>
  <si>
    <t>&lt;think&gt;
Okay, so I need to figure out how many trailing zeros are in 100 factorial, which is 100! Let me think about how to approach this. I remember that trailing zeros are created when a number is multiplied by 10, right? And since 10 is 2 times 5, each pair of 2 and 5 in the prime factors of 100! will contribute to a trailing zero. 
But wait, there are usually more 2s than 5s in the prime factors of a factorial. So the number of trailing zeros should depend on the number of 5s, because 5s are the limiting factor here. That makes sense because every even number contributes at least one 2, so there will be plenty of 2s to pair with the 5s. Therefore, I just need to count how many times 5 is a factor in the numbers from 1 to 100. 
But how exactly do I do that? Let me recall. I think the method involves dividing the number by 5, then by 25, 125, etc., until the division results in zero, and then adding up all those quotients. Let me try to remember why that works. 
So, for example, in 100!, the number of multiples of 5 between 1 and 100 is 100 divided by 5, which is 20. But some numbers contribute more than one 5. For instance, 25 is 5 squared, so it has two 5s. Similarly, 50, 75, and 100 are multiples of 25, each contributing an extra 5. Then there's 125, but 125 is greater than 100, so we stop there. 
Therefore, the total number of 5s is 20 (from the multiples of 5) plus 4 (from the multiples of 25) because 100 divided by 25 is 4. Wait, let me check that again. 
Let me write it down step by step. 
First, divide 100 by 5: 100 / 5 = 20. That counts all the multiples of 5. 
But numbers like 25, 50, 75, 100 are multiples of 25, and each of these has an additional 5. So we need to divide 100 by 25 to find how many numbers contribute an extra 5. 100 / 25 = 4. 
Then, numbers that are multiples of 125 would contribute yet another 5, but since 125 is 5 cubed, and 125 is greater than 100, there are no such numbers in 1 to 100. Therefore, we stop here. 
So adding those up: 20 + 4 = 24. Therefore, there are 24 trailing zeros in 100! 
Wait, let me verify this with another example to make sure I didn't make a mistake. Let's take a smaller factorial, like 25!. How many trailing zeros should it have? 
Using the same method: 25 / 5 = 5, 25 / 25 = 1, 25 / 125 = 0. So total is 5 + 1 = 6. Let me check 25! 
Well, 25! is 15511210043330985984000000. Let me count the trailing zeros. It ends with 6 zeros. Yes, that matches. So the method works here. 
Another example: 10! 
10 / 5 = 2, 10 / 25 = 0. Total is 2. And 10! is 3628800, which has two trailing zeros. Correct. 
So going back to 100! The calculation is 100 / 5 = 20, 100 / 25 = 4, 100 / 125 = 0. So total is 20 + 4 = 24. Therefore, 24 trailing zeros. 
But let me think again why this method works. Essentially, every multiple of 5 contributes at least one 5, but multiples of higher powers of 5 contribute more. So by dividing by 5, 25, 125, etc., we account for all the 5s in the factorial. Since 2s are more plentiful, we don't
&lt;/think&gt;</t>
  </si>
  <si>
    <t>2026-09-16 11:40:27</t>
  </si>
  <si>
    <t>data/responses/Q03_QWEN.json</t>
  </si>
  <si>
    <t>Q04_PHI</t>
  </si>
  <si>
    <t>Q04</t>
  </si>
  <si>
    <t>&lt;think&gt;
Okay, let's see. The sequence given is 2, 6, 12, 20, 30, ... and I need to find the next two numbers. Hmm, let me start by looking at the differences between the numbers. That usually helps in spotting a pattern.
So, starting with the first term: 2. The difference between 6 and 2 is 4. Then between 6 and 12, the difference is 6. Next, 12 to 20 is a difference of 8. Then 20 to 30, which is a difference of 10. Let me write down these differences:
6 - 2 = 4  
12 - 6 = 6  
20 - 12 = 8  
30 - 20 = 10  
So the differences between consecutive terms are 4, 6, 8, 10. Wait a minute, those differences themselves form a sequence. Let me check that sequence: 4, 6, 8, 10. That looks like it's increasing by 2 each time. So 4, then 4+2=6, then 6+2=8, then 8+2=10. If that pattern continues, the next difference should be 10 + 2 = 12, right? Then the difference after that would be 12 + 2 = 14.
Let me verify that. The last difference was 10, leading to 30. So adding 12 to 30 would give 42. Then adding 14 to 42 would give 56. So the next two numbers should be 42 and 56. But let me make sure I'm not missing something here. Sometimes sequences can have more complex rules, so I should check another way.
Alternatively, maybe the sequence is related to multiplying consecutive numbers. Let's see: 2 can be 1×2, 6 is 2×3, 12 is 3×4, 20 is 4×5, 30 is 5×6. Wait, that seems to fit. Let me check:
1×2 = 2  
2×3 = 6  
3×4 = 12  
4×5 = 20  
5×6 = 30  
So the next term would be 6×7 = 42, and then 7×8 = 56. That matches the earlier result from the differences. So both methods point to 42 and 56. That seems solid. But let me check another angle just to be thorough.
Another approach could be looking at the sequence in terms of primes or something else, but the numbers here are 2,6,12,20,30. Primes aren't really standing out here. 2 is prime, but 6 isn't, 12 isn't, etc. So probably not primes. How about factors? Each term is the product of two consecutive integers starting from 1×2. Yeah, that's the same as the earlier observation.
Alternatively, maybe each term is n(n+1), where n starts at 1. Let's see:
Term 1: 1×2 = 2  
Term 2: 2×3 = 6  
Term 3: 3×4 = 12  
Term 4: 4×5 = 20  
Term 5: 5×6 = 30  
So term 6 would be 6×7=42, term 7=7×8=56. Yep, same result.
Alternatively, maybe the sequence is related to adding numbers in some other way. Let's see, starting from 2, adding 4 gives 6, then adding 6 gives 12, adding 8 gives 20, adding 10 gives 30. So the added numbers are 4,6,8,10, which are even numbers starting from 4 increasing by 2 each time. So next addition is 12, then 14. So 30 +12=42, 42+14=56. Same answer.
Is there another possible pattern? Let's see. Let's check the ratios between terms. 6/2=3, 12/6=2, 20/12≈1.666, 30/20=1.5. That doesn't seem to form a clear pattern. So ratios are probably not the way here.
Alternatively, maybe the sequence is composite numbers with certain properties? But 2,6,12,20,30—those are all composite numbers, but that's too broad. The primes are 2, then composites. But the sequence includes 6, which is composite, 12, etc. But the primes are only the first term here. So probably not.
Alternatively, maybe the sequence is n² + something. Let's check:
Term 1: 1² +1=2  
Term 2: 2² +2=6  
Term 3: 3</t>
  </si>
  <si>
    <t>2026-09-16 11:52:11</t>
  </si>
  <si>
    <t>data/responses/Q04_PHI.json</t>
  </si>
  <si>
    <t>Q04_DSR1</t>
  </si>
  <si>
    <t>[FINAL ANSWER]
To determine the next two numbers in the sequence \(2, 6, 12, 20, 30, \ldots\), let's analyze the pattern governing the sequence.
### Step-by-Step Explanation:
1. **Identify the Pattern:**
   Let's list the given terms:
   \[
   2,\ 6,\ 12,\ 20,\ 30,\ \ldots
   \]
   To find the pattern, calculate the difference between consecutive terms:
   \[
   \begin{align*}
   6 - 2 &amp;= 4 \\
   12 - 6 &amp;= 6 \\
   20 - 12 &amp;= 8 \\
   30 - 20 &amp;= 10 \\
   \end{align*}
   \]
   The differences between consecutive terms are \(4, 6, 8, 10\), which increase by \(2\) each time.
2. **Determine the Next Differences:**
   Following the observed pattern, the next differences should be:
   \[
   10 + 2 = 12 \\
   12 + 2 = 14 \\
   \]
3. **Calculate the Next Terms:**
   Add these differences to the last term of the sequence:
   \[
   \begin{align*}
   30 + 12 &amp;= 42 \\
   42 + 14 &amp;= 56 \\
   \end{align*}
   \]
4. **Conclusion:**
   The next two numbers in the sequence are:
   \[
   \boxed{42,\ 56}
   \]
[THINKING PROCESS (&lt;think&gt;)]
To determine the next two numbers in the sequence 2, 6, 12, 20, 30, ..., I'll start by examining the differences between consecutive terms.
First, I'll calculate the differences between each pair of adjacent numbers:
6 - 2 = 4
12 - 6 = 6
20 - 12 = 8
30 - 20 = 10
I notice that these differences are increasing by 2 each time: 4, 6, 8, 10. This suggests that the next difference should be 12, and the one after that should be 14.
Now, to find the next two numbers in the sequence, I'll add these differences to the last known term:
30 + 12 = 42
42 + 14 = 56
Therefore, the next two numbers in the sequence are 42 and 56.</t>
  </si>
  <si>
    <t>2026-09-16 11:46:39</t>
  </si>
  <si>
    <t>data/responses/Q04_DSR1.json</t>
  </si>
  <si>
    <t>Q04_QWEN</t>
  </si>
  <si>
    <t>&lt;think&gt;
Okay, let's see. I need to find the next two numbers in the sequence: 2, 6, 12, 20, 30, ... and explain the rule. Hmm, let me start by looking at the differences between the numbers. 
First, let me write down the terms with their positions to see if that helps. Let's say the first term is term 1, second term is term 2, etc.
Term 1: 2  
Term 2: 6  
Term 3: 12  
Term 4: 20  
Term 5: 30  
Term 6: ?  
Term 7: ?
Now, let me calculate the differences between consecutive terms. 
Term 2 - Term 1 = 6 - 2 = 4  
Term 3 - Term 2 = 12 - 6 = 6  
Term 4 - Term 3 = 20 - 12 = 8  
Term 5 - Term 4 = 30 - 20 = 10  
So the differences between the terms are 4, 6, 8, 10... That seems like an arithmetic sequence where each difference increases by 2. Let me check:
First difference: 4  
Second difference: 6 (which is 4 + 2)  
Third difference: 8 (which is 6 + 2)  
Fourth difference: 10 (which is 8 + 2)  
Yes, so the differences are increasing by 2 each time. If this pattern continues, the next difference should be 10 + 2 = 12. Therefore, Term 6 would be Term 5 + 12 = 30 + 12 = 42. Then the following difference would be 12 + 2 = 14, making Term 7 = 42 + 14 = 56. 
But let me verify if there's another way to look at this sequence. Sometimes sequences can be represented by formulas involving n, the term number. Let me check if there's a formula for the nth term.
Looking at the terms:
Term 1: 2  
Term 2: 6  
Term 3: 12  
Term 4: 20  
Term 5: 30  
Hmm, these numbers look familiar. Let me think... 2 is 1×2, 6 is 2×3, 12 is 3×4, 20 is 4×5, 30 is 5×6. Oh! So each term is n multiplied by (n + 1), where n starts at 1. Let me check:
For Term 1: 1×(1+1) = 1×2 = 2 ✔️  
Term 2: 2×(2+1) = 2×3 = 6 ✔️  
Term 3: 3×4 = 12 ✔️  
Term 4: 4×5 = 20 ✔️  
Term 5: 5×6 = 30 ✔️  
Yes! So the general formula for the nth term is n(n + 1). Therefore, Term 6 would be 6×7 = 42, and Term 7 is 7×8 = 56. That matches the earlier result from the differences. 
So both methods lead to the same conclusion. The sequence is generated by multiplying each term's position by one more than the position. Therefore, the next two numbers are 42 and 56. 
Let me just make sure there isn't another possible pattern. For example, sometimes sequences can involve factorials or other operations, but in this case, the multiplication pattern seems straightforward. Let me check if the differences could also be explained by another rule. The differences are 4, 6, 8, 10,... which is an arithmetic progression with first term 4 and common difference 2. So the difference between term n and term n-1 is 4 + 2(n-2). Wait, let me think. 
Actually, the first difference (between term 1 and term 2) is 4. If we consider the difference between term k and term k-1 as 2k + 2? Wait, maybe not. Let me think again. 
Alternatively, since the nth term is n(n+1), then the difference between term n and term n-1 is:
Term n - Term (n-1) = n(n + 1) - (n - 1)(n)  
= n² + n - [n(n - 1)]  
= n² + n - (n² - n)  
= n² + n - n² + n  
=
&lt;/think&gt;</t>
  </si>
  <si>
    <t>2026-09-16 11:41:41</t>
  </si>
  <si>
    <t>data/responses/Q04_QWEN.json</t>
  </si>
  <si>
    <t>Q05_PHI</t>
  </si>
  <si>
    <t>Q05</t>
  </si>
  <si>
    <t>Hard</t>
  </si>
  <si>
    <t>&lt;think&gt;
Okay, so I need to find the probability that the sum of three six-sided dice is exactly 10. Let me think about how to approach this. 
First, I remember that when dealing with probabilities involving dice, it's often helpful to figure out the total number of possible outcomes and then the number of favorable outcomes. The probability would then be the ratio of favorable outcomes to total outcomes. 
Since there are three dice, each die has 6 possible outcomes. So the total number of possible outcomes should be 6 * 6 * 6. Let me calculate that: 6 * 6 is 36, and 36 * 6 is 216. So there are 216 possible outcomes when rolling three dice. That part seems straightforward.
Now, the tricky part is figuring out how many of those outcomes result in a sum of 10. To do this, I need to count all the ordered triples (a, b, c) where each of a, b, c is between 1 and 6 inclusive, and a + b + c = 10. 
I recall that this is a problem of finding the number of integer solutions to the equation a + b + c = 10 with each variable at least 1 and at most 6. Since each die must show at least 1, the minimum sum is 3 (1+1+1) and the maximum is 18 (6+6+6). So 10 is within that range. 
To solve the equation a + b + c = 10 with 1 ≤ a, b, c ≤ 6, I can use the stars and bars method. But wait, stars and bars usually applies when variables are non-negative integers. Since each die must be at least 1, I can make a substitution: let a' = a - 1, b' = b - 1, c' = c - 1. Then the equation becomes a' + b' + c' = 10 - 3 = 7, where a', b', c' are non-negative integers and each a' ≤ 5, b' ≤ 5, c' ≤ 5 (since the original variables can't exceed 6). 
So now the problem is transformed into finding the number of non-negative integer solutions to a' + b' + c' = 7 with each variable at most 5. The standard stars and bars formula without restrictions would give C(7 + 3 - 1, 3 - 1) = C(9, 2) = 36 solutions. But this includes solutions where one or more variables exceed 5. So we need to subtract those cases where a variable is greater than 5.
Let me recall the inclusion-exclusion principle here. The number of solutions where a' ≥ 6 (since the original variables can be at most 6, so a' = a - 1 ≤ 5). If a' ≥ 6, let’s set a'' = a' - 6. Then the equation becomes a'' + b' + c' = 7 - 6 = 1. The number of solutions here is C(1 + 3 - 1, 3 - 1) = C(3, 2) = 3. Similarly, the same applies if b' ≥ 6 or c' ≥ 6. So there are 3 * 3 = 9 such solutions where any one variable exceeds 5.
But wait, inclusion-exclusion also requires considering cases where two variables exceed 5. However, if two variables exceed 5, say a' ≥ 6 and b' ≥ 6, then setting a'' = a' - 6 and b'' = b' - 6, the equation becomes a'' + b'' + c' = 7 - 12 = -5. Since the right-hand side is negative, there are no solutions here. Similarly, any two variables exceeding 5 would lead to a negative total, which isn't possible. So there are no such cases to add back in. 
Therefore, the number of valid solutions is total solutions without restrictions (36) minus the solutions where any variable exceeds 5 (9), giving 36 - 9 = 27. 
But wait, hold on. Let me verify this. So the original equation after substitution is a' + b' + c' = 7, with each a', b', c' ≤ 5. The number of solutions is C(9, 2) - 3*C(3, 2). Wait, no, inclusion-exclusion formula is:
Number of solutions = total solutions - sum of solutions where each variable exceeds - sum of solutions where two variables exceed + ... 
But in this case, the number of solutions where a single variable exceeds 5 is 3 (as calculated earlier) for each variable, so 3 * 3 = 9. Since there are no</t>
  </si>
  <si>
    <t>2026-09-16 11:53:17</t>
  </si>
  <si>
    <t>data/responses/Q05_PHI.json</t>
  </si>
  <si>
    <t>Q05_DSR1</t>
  </si>
  <si>
    <t>&lt;think&gt;
Okay, so I have this problem where I need to find the probability that the sum of three fair six-sided dice is equal to 10. Hmm, let me think about how to approach this. I remember that when dealing with probabilities involving dice, it's often useful to figure out the number of favorable outcomes divided by the total number of possible outcomes. 
First, let me recall that each die has 6 faces, so when rolling three dice, the total number of possible outcomes is 6 multiplied by itself three times, which is 6^3. Let me calculate that: 6*6 is 36, and 36*6 is 216. So, there are 216 possible outcomes when rolling three dice. Got that down.
Now, the tricky part is figuring out how many of these outcomes result in a sum of 10. I think this is a combinatorics problem where I need to find the number of integer solutions to the equation a + b + c = 10, where each of a, b, and c is at least 1 and at most 6. Because each die can only show a number from 1 to 6, inclusive.
Wait, so each die must be at least 1, so maybe I can adjust the equation to account for that. If I let a' = a - 1, b' = b - 1, c' = c - 1, then each of a', b', c' is at least 0. Then the equation becomes (a' + 1) + (b' + 1) + (c' + 1) = 10, which simplifies to a' + b' + c' = 7. So now, I need to find the number of non-negative integer solutions to a' + b' + c' = 7, where each a', b', c' is at most 5, because the original a, b, c can be at most 6, so a' = a - 1 can be at most 5.
I remember that the formula for the number of non-negative integer solutions to x1 + x2 + ... + xn = k is C(k + n - 1, n - 1). So in this case, n is 3, k is 7, so the number of solutions without any restrictions would be C(7 + 3 - 1, 3 - 1) = C(9, 2). Let me compute that: 9 choose 2 is (9*8)/(2*1) = 36. So there are 36 solutions without considering the upper limit of 5 on each variable.
But wait, some of these solutions might have a' &gt; 5, which would mean a &gt; 6, which isn't allowed. So I need to subtract those cases where one or more of a', b', c' exceed 5.
This is where the inclusion-exclusion principle comes into play. First, I need to find the number of solutions where a' &gt;= 6. If a' &gt;= 6, let's set a'' = a' - 6, so a'' &gt;= 0. Then the equation becomes a'' + b' + c' = 7 - 6 = 1. The number of non-negative solutions to this is C(1 + 3 - 1, 3 - 1) = C(3, 2) = 3. Similarly, the same number applies for b' &gt;=6 and c' &gt;=6. So each variable exceeding 5 contributes 3 solutions.
But wait, can two variables exceed 5 at the same time? Let's check. If a' &gt;=6 and b' &gt;=6, then a'' = a' -6, b'' = b' -6, so the equation becomes a'' + b'' + c' = 7 - 12 = -5. That's not possible, so there are no solutions where two variables exceed 5. Therefore, we don't have to worry about overcounting in the inclusion-exclusion principle beyond subtracting the cases where one variable exceeds 5.
So, the total number of invalid solutions is 3 variables * 3 solutions each = 9. Therefore, the number of valid solutions is 36 - 9 = 27.
Wait, hold on. Let me verify that. So, the initial number of solutions is 36. Then, for each die, if it exceeds 5, we subtract 3. Since there are three dice, that's 3*3=9. So 36 - 9 = 27. That seems right.
But just to make sure, maybe I can list all the possible combinations that sum to 10 with three dice. Let me see.
Alternatively, maybe I can think of it as
&lt;/think&gt;</t>
  </si>
  <si>
    <t>2026-09-16 11:47:50</t>
  </si>
  <si>
    <t>data/responses/Q05_DSR1.json</t>
  </si>
  <si>
    <t>Q05_QWEN</t>
  </si>
  <si>
    <t>&lt;think&gt;
Okay, so I need to find the probability that when rolling three standard six-sided dice, the sum is exactly 10. Let me think about how to approach this. 
First, I remember that when dealing with probabilities involving dice, it's often helpful to figure out the total number of possible outcomes and then determine how many of those outcomes result in the desired sum. Since each die has 6 sides, and we're rolling three dice, the total number of possible outcomes should be 6 multiplied by itself three times. Let me write that down:
Total outcomes = 6 × 6 × 6 = 216.
Okay, so there are 216 possible outcomes when rolling three dice. Now, I need to find how many of these outcomes result in a sum of 10. 
To do this, I think I need to find all the combinations of three numbers (each between 1 and 6) that add up to 10. Each number represents the result of one die. Let me denote the three numbers as a, b, and c, where each of them is an integer between 1 and 6 inclusive, and a + b + c = 10.
So, the problem reduces to finding the number of integer solutions to the equation a + b + c = 10 with 1 ≤ a, b, c ≤ 6. 
But how do I count these solutions? I remember something about stars and bars from combinatorics, but I also need to consider the upper limits on each variable (since each die can't exceed 6). Let me recall. 
The standard stars and bars formula for the number of positive integer solutions to a + b + c = n is C(n-1, 2), where C is the combination function. However, this doesn't account for the upper limits on each variable. Since each die can only go up to 6, we need to adjust for that. 
Alternatively, maybe I can use generating functions? Or perhaps it's easier to list all possible combinations? Wait, listing might be tedious, but since the numbers are small, maybe manageable. Let me try both approaches and see which works better.
First, let me try the stars and bars approach with inclusion-exclusion. 
The equation is a + b + c = 10, with 1 ≤ a, b, c ≤ 6. Let me first adjust the variables to make them non-negative integers. Let me set a' = a - 1, b' = b - 1, c' = c - 1. Then, the equation becomes:
a' + 1 + b' + 1 + c' + 1 = 10 ⇒ a' + b' + c' = 10 - 3 = 7.
Now, the problem is to find the number of non-negative integer solutions to a' + b' + c' = 7, where each a', b', c' ≤ 5 (since original variables a, b, c ≤ 6, so subtracting 1 gives ≤5). 
The standard number of solutions without considering the upper bounds is C(7 + 3 - 1, 3 - 1) = C(9, 2) = 36. But this counts solutions where some variables might exceed 5. So we need to subtract those cases where one or more variables are greater than 5.
Let me recall inclusion-exclusion principle here. 
First, compute the total number of solutions without restrictions: C(9, 2) = 36.
Now, subtract the number of solutions where at least one variable is ≥6. Let's compute that.
Let me define A as the set of solutions where a' ≥ 6, B where b' ≥ 6, and C where c' ≥ 6. We need to compute |A ∪ B ∪ C| and subtract it from the total.
By inclusion-exclusion:
|A ∪ B ∪ C| = |A| + |B| + |C| - |A ∩ B| - |A ∩ C| - |B ∩ C| + |A ∩ B ∩ C|.
First, compute |A|. If a' ≥ 6, let me set a'' = a' - 6 ≥ 0. Then the equation becomes a'' + 6 + b' + c' = 7 ⇒ a'' + b' + c' = 1. The number of non-negative solutions is C(1 + 3 - 1, 3 - 1) = C(3, 2) = 3. Similarly, |B| = |C| = 3. So total for |A| + |B| + |C| = 3*3 = 9.
Next, compute |A ∩ B|. This is the number of solutions where
&lt;/think&gt;</t>
  </si>
  <si>
    <t>2026-09-16 11:42:45</t>
  </si>
  <si>
    <t>data/responses/Q05_QWEN.json</t>
  </si>
  <si>
    <t>Q06_PHI</t>
  </si>
  <si>
    <t>Q06</t>
  </si>
  <si>
    <t>Logical reasoning</t>
  </si>
  <si>
    <t>[FINAL ANSWER]
The farmer originally has 17 sheep. The phrase "all but 9 die" means that **9 sheep survive**, and the remaining **17 - 9 = 8** die. 
**Answer:** \boxed{9}  
*Logic:* "All but 9 die" implies 9 sheep do not die (survive), so the farmer has 9 live sheep left.
[THINKING PROCESS (&lt;think&gt;)]
Okay, let's see. The problem says a farmer has 17 sheep, and all but 9 die. How many live sheep does the farmer have left? Hmm. So, the farmer starts with 17 sheep. Then "all but 9 die." Wait, "all but 9" die. So, does that mean that except for 9 sheep, all die? Or does it mean that all die except for 9? Let me parse this sentence again.
The phrase "all but 9 die" – "but" here is used to contrast. So, it's like saying "everyone except for 9 die," which would mean that 9 sheep do not die, and all the others die. So, if the farmer originally has 17 sheep, and all but 9 die, then 9 survive, and 17 minus 9 die. So, 17 - 9 = 8. Wait, no. Wait, if all but 9 die, then the number that die is total minus 9. So, 17 total sheep, all but 9 die, so 17 - 9 = 8 sheep die, and 9 survive. Therefore, the farmer has 9 live sheep left.
But wait, let me make sure. Sometimes these problems can be tricky with the wording. Let's break it down. "All but 9 die" – "all" refers to the entire group except for 9. So, out of the 17 sheep, "all" would mean every sheep, but there's an exception: 9 that don't die. So, 9 sheep survive, and the remaining (17 - 9 = 8) die. Therefore, the answer should be 9.
Alternatively, someone might misinterpret "all but 9 die" as "first, all die, but then 9 remain," but that doesn't make sense. The correct interpretation is that except for 9, all the sheep die. So, 8 die, 9 survive. So, the farmer has 9 live sheep left.
Another way to think about it: "all but X" means "completely except for X." So, if you have all but X of something, that means you have X left and the rest are excluded. For example, if I say "all but one of the cookies were eaten," that means one cookie remains.Even more clearly, if the problem had said "all but 9 died," then the number of living sheep would be 9. Because "all but 9" refers to the dying ones, so 9 live.
So, the key is understanding that "all but 9" die. So, the death toll is 17 - 9 = 8, and survivors are 9. Therefore, the answer is 9.</t>
  </si>
  <si>
    <t>2026-09-16 11:59:00</t>
  </si>
  <si>
    <t>data/responses/Q06_PHI.json</t>
  </si>
  <si>
    <t>Q06_DSR1</t>
  </si>
  <si>
    <t>[FINAL ANSWER]
Sure, let's break down the problem step by step.
**Problem Statement:**
A farmer has 17 sheep, and all but 9 die. How many live sheep does the farmer have left?
**Solution:**
1. **Initial Number of Sheep:**
   - The farmer starts with **17 sheep**.
2. **Understanding "All but 9 Die":**
   - The phrase "all but 9" means that **all sheep except 9** die.
   - In other words, **9 sheep survive**.
3. **Calculating the Number of Live Sheep:**
   - Total sheep initially = 17
   - Sheep that die = 17 - 9 = 8
   - Sheep that survive = 9
**Final Answer:**
\[
\boxed{9}
\]
[THINKING PROCESS (&lt;think&gt;)]
First, the farmer starts with 17 sheep.
The phrase "all but 9 die" means that 9 sheep survive.
Therefore, the number of live sheep remaining is 9.</t>
  </si>
  <si>
    <t>2026-09-16 11:22:53</t>
  </si>
  <si>
    <t>data/responses/Q06_DSR1.json</t>
  </si>
  <si>
    <t>Q06_QWEN</t>
  </si>
  <si>
    <t>[FINAL ANSWER]
The farmer has **9 live sheep** left. 
**Explanation:**  
The phrase "all but 9 die" means that 9 sheep are exceptions to the action of dying. Therefore, out of the 17 sheep, 9 survive, and the remaining 8 die. The question specifically asks for the number of live sheep, which is the 9 that did not die. 
**Answer:** 9 live sheep.
[THINKING PROCESS (&lt;think&gt;)]
Okay, let's see. The problem says a farmer has 17 sheep, and all but 9 die. How many live sheep does the farmer have left?
Hmm, so first, I need to understand what "all but 9 die" means. The phrase "all but 9" usually means that 9 are exceptions. So if there are 17 sheep total, and all except 9 die, that would mean 9 survive. Wait, but the question is asking how many live sheep are left. So if all but 9 die, then 9 are alive. But let me make sure I'm interpreting this correctly.
Let me break it down. The farmer starts with 17 sheep. "All but 9 die" – so "all" refers to all the sheep, except for 9. So the number of sheep that die is total sheep minus the ones that don't die. So total sheep is 17. If all but 9 die, then the number that die is 17 - 9 = 8. Wait, that would mean 8 die and 9 are left? Wait, that seems conflicting. Let me think again.
Wait, maybe I'm mixing up the phrasing. If "all but 9 die," that means that 9 are not dying, so they are the ones that survive. Therefore, the number of live sheep would be 9. But then the total number of sheep is 17, so 17 - 9 = 8 died. So the answer would be 9? But let me check if that's correct.
Alternatively, sometimes people might misinterpret "all but 9" as meaning that 9 are left, so the answer is 9. But maybe there's a trick here. Let me think again. Suppose the farmer has 17 sheep. All but 9 die. So "all" refers to all the sheep, and "but 9" means that 9 are exceptions. Therefore, 9 are alive, and the rest (17 - 9 = 8) die. Therefore, the number of live sheep is 9. So the answer is 9.
But wait, maybe there's a different way to interpret it. For example, if someone says "all but 9 die," does that mean that 9 die and the rest live? No, that would be different. "All but 9" would mean that 9 are not included in the "all." So if you have all except 9, then 9 are the ones that are not part of the "all." So if the "all" refers to the ones that die, then "all but 9" would mean that 9 are not dying, so they are alive. Therefore, the answer is 9.
Alternatively, maybe the question is trying to trick you into thinking it's 8, but actually, it's 9. Let me check with an example. Suppose there are 10 sheep. If all but 3 die, how many live? It would be 3. So applying the same logic, 17 sheep, all but 9 die, so 9 live. Therefore, the answer is 9.
But wait, maybe there's a trick with the wording. The question says "all but 9 die." So "all" refers to the entire group. So "all but 9" is the same as "9 are left." Therefore, the answer is 9. So the farmer has 9 live sheep left. That seems straightforward. But maybe I need to confirm with another example. If there are 5 sheep, and all but 2 die, then 2 are left. So yes, same logic. Therefore, in the original problem, 17 sheep, all but 9 die, so 9 are left. Therefore, the answer is 9.
But wait, sometimes people might think that "all but 9" means that 9 die, but that would be incorrect. Because "all but 9" is a way of saying "everything except 9," so the 9 are the ones that are not included in the action. Since the action is "die," then the 9 are the ones that don't die. Therefore, the answer is 9. So I think that's the correct answer.</t>
  </si>
  <si>
    <t>2026-09-16 11:30:23</t>
  </si>
  <si>
    <t>data/responses/Q06_QWEN.json</t>
  </si>
  <si>
    <t>Q07_PHI</t>
  </si>
  <si>
    <t>Q07</t>
  </si>
  <si>
    <t>[FINAL ANSWER]
\boxed{No}
**Logical Justification:**  
The premises "All roses are flowers" (∀x, if x is a rose then x is a flower) and "Some flowers fade quickly" (∃x, x is a flower that fades quickly) do not necessarily entail "Some roses fade quickly" (∃x, x is a rose that fades quickly). 
Formally, consider a model where:  
1. All roses are flowers (satisfies ∀
[THINKING PROCESS (&lt;think&gt;)]
Okay, let's see. The problem is: All roses are flowers. Some flowers fade quickly. Does it strictly follow that some roses fade quickly? The answer is either Yes or No, and I need to provide a formal logical justification.
Hmm. So first, let's break down the statements. The first premise is "All roses are flowers." In logical terms, that would be a universal statement: For all x, if x is a rose, then x is a flower. Symbolically, ∀x (Rose(x) → Flower(x)). 
The second premise is "Some flowers fade quickly." That's an existential statement: There exists at least one flower that fades quickly. Symbolically, ∃x (Flower(x) ∧ FadeQuick(x)).
The question is asking if these two premises necessarily lead to "Some roses fade quickly," which is the conclusion we need to evaluate. Symbolically, that would be ∃x (Rose(x) ∧ FadeQuick(x)).
So, the task is to determine if the conjunction of the two premises (∀x (Rose(x) → Flower(x)) ∧ ∃x (Flower(x) ∧ FadeQuick(x)) ) entails ∃x (Rose(x) ∧ FadeQuick(x)).
I need to check if the first two statements together necessarily make the third one true. In other words, is the conclusion a logical consequence of the premises?
Let me think about this. The first premise says that all roses are flowers, which is a one-way implication. It doesn't say that flowers are all roses. So, there could be flowers that are not roses. The second premise says that some flowers fade quickly, but those flowers could be any kind of flower, not necessarily roses.
For example, imagine a world where all roses are flowers, but the flowers that fade quickly are daisils, which are not roses. In that case, the premises would be true, but the conclusion that some roses fade quickly would also be true. Wait, no, in that case, the premises are true, but the conclusion is false. Wait, no, if the flowers that fade quickly are daisils, then there are no roses that fade quickly. But the premises don't say anything about roses fading quickly. So in that scenario, the premises are true, but the conclusion is false. Therefore, the conclusion doesn't strictly follow. So the answer would be No.
But let me verify this with formal logic. Let's see. Suppose we have:
1. ∀x (Rose(x) → Flower(x))  
2. ∃x (Flower(x) ∧ FadeQuick(x))  
Does this entail ∃x (Rose(x) ∧ FadeQuick(x))?
To check for entailment, we need to see if every model that satisfies the premises also satisfies the conclusion.
Consider a model where all roses are flowers. Let's say in this model, there are some flowers that fade quickly, but those flowers are not roses. For instance, let’s take a domain where the only flowers are daisils and roses. The daillils are the ones that fade quickly. But roses are also flowers, but they don't fade quickly. So in this model, premise 1 is true because all roses are flowers. Premise 2 is true because daisils (which are flowers) fade quickly. However, the conclusion ∃x (Rose(x) ∧ FadeQuick(x)) is false because no roses fade quickly. Therefore, the premises can be true without the conclusion being true. Hence, the conclusion does not follow necessarily. So the answer is No.
Another way to think about it is using syllogism. The problem is testing whether the syllogism is valid. The structure here is:
All A are B. Some B are C. Therefore, some A are C.
In traditional syllogism terms, this is a fallacy of the undistributed variable. The first premise is "All A are B," which is valid. The second premise is "Some B are C." The problem is trying to conclude "Some A are C." But this isn't a valid syllogistic form. The middle term B is undistributed in the second premise ("Some B are C" is an existential statement, which doesn't distribute). Therefore, the syllogism is invalid. The conclusion doesn't necessarily follow.
So, in summary, the answer is No because the premises don't provide sufficient information to conclude that roses fade quickly; the flowers that fade quickly could be a different category of flowers that are not roses.</t>
  </si>
  <si>
    <t>2026-09-16 11:10:10</t>
  </si>
  <si>
    <t>data/responses/Q07_PHI.json</t>
  </si>
  <si>
    <t>Q07_DSR1</t>
  </si>
  <si>
    <t>[FINAL ANSWER]
Yes.
The conclusion strictly follows from the premises. 
1. The first premise states that all roses are flowers, which can be represented as ∀x (R(x) → F(x)).
2. The second premise states that some flowers fade quickly, represented as ∃x (F(x) ∧ Q(x)).
3. Combining these, we can infer that there exists at least one x such that R(x) ∧ Q(x), because if all roses are flowers and some flowers fade quickly, those flowers that fade quickly must include roses.
4. Therefore, some roses fade quickly, which is the conclusion.
This follows logically using the rules of syllogistic logic, specifically the Barbara syllogism, ensuring the conclusion is valid.
[THINKING PROCESS (&lt;think&gt;)]
Okay, so I have this logic problem here: "All roses are flowers. Some flowers fade quickly. Does it strictly follow that some roses fade quickly?" I need to figure out if the conclusion necessarily follows from the premises. Hmm, let's break this down step by step.
First, let's translate the statements into logical terms. The first premise is "All roses are flowers." In predicate logic, that would be something like ∀x (R(x) → F(x)), where R(x) means "x is a rose" and F(x) means "x is a flower." So every rose is a flower.
The second premise is "Some flowers fade quickly." That translates to ∃x (F(x) ∧ Q(x)), where Q(x) means "x fades quickly." So there exists at least one flower that fades quickly.
Now, the question is whether we can conclude that "Some roses fade quickly," which would be ∃x (R(x) ∧ Q(x)). 
I remember that in syllogistic logic, if all members of one category (roses) are included in another (flowers), and some members of the second category (flowers) have a certain property (fade quickly), then it follows that some members of the first category (roses) must also have that property. This is similar to the Barbara syllogism, which is a valid form in traditional syllogistics.
But wait, I should make sure I'm not missing anything. Let me think of an example. Suppose all roses are indeed flowers. Now, if some flowers fade quickly, does that mean some roses do too? Well, since all roses are flowers, any flower that fades quickly could be a rose. So yes, there must be some roses that fade quickly.
Alternatively, if I think about it in terms of sets, the set of roses is a subset of the set of flowers. The set of flowers that fade quickly is a non-empty subset of all flowers. Since roses are entirely within flowers, the intersection of roses and flowers that fade quickly must also be non-empty. Therefore, some roses fade quickly.
I don't think there's a scenario where all flowers that fade quickly are non-roses. Because if all roses are flowers, then any flower that is a rose is part of the set that could fade quickly. So the conclusion seems to hold.
Wait, could there be a case where all flowers that fade quickly are non-roses? No, because if all roses are flowers, then the flowers that fade quickly could include roses or not, but since we know some flowers fade quickly, and all roses are flowers, it's possible that some of those flowers that fade quickly are roses. Therefore, it's necessary that some roses fade quickly.
So, putting it all together, the premises do lead to the conclusion. Therefore, the answer should be 'Yes'.</t>
  </si>
  <si>
    <t>2026-09-16 11:23:56</t>
  </si>
  <si>
    <t>data/responses/Q07_DSR1.json</t>
  </si>
  <si>
    <t>Q07_QWEN</t>
  </si>
  <si>
    <t>[FINAL ANSWER]
No. 
**Formal Justification:**  
Let R(x) = "x is a rose," F(x) = "x is a flower," and Q(x) = "x fades quickly."  
- Premise 1: ∀x (R(x) → F(x)) (All roses are flowers).  
- Premise 2: ∃x (F(x) ∧ Q(x)) (Some flowers fade quickly).  
The conclusion ∃x (R(x) ∧ Q(x)) ("Some roses fade quickly") does not strictly follow. Premise 2 only asserts that some flowers (possibly non-roses) fade quickly. Since roses are a subset of flowers, there is no logical necessity that the flowers fading quickly overlap with roses. For example, all flowers that fade quickly could be non-roses, making the conclusion false while preserving the premises. Thus, the conclusion is not entailed by the premises.
[THINKING PROCESS (&lt;think&gt;)]
Okay, let's see. The question is about whether the statement "All roses are flowers. Some flowers fade quickly. Does it strictly follow that some roses fade quickly?" So I need to figure out if the conclusion necessarily follows from the premises.
First, let me break down the premises. The first premise is "All roses are flowers." In logical terms, this is a universal statement. So if I denote R as roses and F as flowers, then this would be ∀x (R(x) → F(x)). That means for every x, if x is a rose, then x is a flower.
The second premise is "Some flowers fade quickly." Let me denote F as flowers and Q as fade quickly. So this is ∃x (F(x) ∧ Q(x)). There exists at least one x that is a flower and fades quickly.
Now, the conclusion is "Some roses fade quickly," which would be ∃x (R(x) ∧ Q(x)).
So the question is, does the combination of the two premises necessarily lead to the conclusion?
Let me think about logical implications. The first premise says all roses are flowers, so roses are a subset of flowers. The second premise says that some flowers (which could be any subset) fade quickly. But does that mean that some roses must be in that subset?
Wait, here's a possible problem. The second premise says some flowers fade quickly, but those flowers could be entirely separate from roses. For example, maybe all the flowers that fade quickly are not roses. So even though all roses are flowers, the flowers that fade quickly might not include any roses. Therefore, the conclusion that some roses fade quickly might not hold.
Let me try to formalize this. Suppose we have a universe of flowers. Let's say there are two groups: roses and non-roses. The first premise says all roses are in the flowers. The second premise says that some flowers (maybe non-roses) fade quickly. There's no information linking the fading quickly to roses specifically. So unless there's an overlap between the flowers that fade quickly and the roses, we can't conclude that some roses fade quickly.
So, for example, imagine a scenario where all flowers that fade quickly are tulips, and there are no tulips that are roses. Then the premises hold, but the conclusion doesn't. Therefore, the conclusion isn't necessarily true.
Therefore, the answer should be No. The premises don't strictly lead to the conclusion because the set of flowers that fade quickly might not intersect with roses at all.</t>
  </si>
  <si>
    <t>2026-09-16 11:31:23</t>
  </si>
  <si>
    <t>data/responses/Q07_QWEN.json</t>
  </si>
  <si>
    <t>Q08_PHI</t>
  </si>
  <si>
    <t>Q08</t>
  </si>
  <si>
    <t>&lt;think&gt;
Okay, let's see. So there are three people: Alice, Bob, and Charlie. They're sitting in a row. The problem says Alice is not on the far right. Bob is sitting to the immediate right of Alice. We need to figure out who's on the far left.
First, let me visualize the seating arrangement. There are three seats in a row, so the positions are left to right, let's say positions 1, 2, 3. We need to arrange Alice (A), Bob (B), and Charlie (C) in these positions.
The key clues here are:
1. Alice is not on the far right. So Alice can't be in position 3.
2. Bob is sitting to the immediate right of Alice. That means wherever Alice is sitting, Bob is next to her on the right side. So if Alice is in position 1, Bob must be in position 2. If Alice were in position 2, Bob would have to be in position 3. But Alice can't be in position 3 because she's not on the far right.
Let's break it down step by step.
First, possible positions for Alice. Since she's not on the far right (position 3), she must be in position 1 or 2.
Case 1: Alice is in position 1. Then Bob, being to her immediate right, would be in position 2. That leaves Charlie in position 3. So the arrangement would be A, B, C. In this case, the far left is Alice. But let's check if this fits all conditions. Alice is not on the far right (she's in 1, which is fine). Bob is immediately right of Alice (1 and 2, correct). So this is a possible arrangement.
Case 2: Alice is in position 2. Then Bob must be in position 3 (immediate right). That leaves Charlie in position 1. So the arrangement would be C, A, B. Here, Alice is in position 2 (not far right), Bob is immediately right of Alice. So this also fits all conditions. In this case, the far left is Charlie.
Wait, so there are two possible arrangements? But the question asks "Who is sitting on the far left?" which suggests there's a unique answer. Did I miss something?
Let me check again. The problem states that Alice is not on the far right. So in the first case, Alice is on the far left. In the second case, Alice is in the middle. Both are allowed. But Bob must be immediately to the right of Alice. So in the first case, A-B-C, Bob is next to Alice. In the second case, C-A-B, Bob is next to Alice. Both satisfy the conditions. But the problem seems to expect a single answer. Hmm.
Wait, maybe there's a constraint I overlooked. The problem says "sitting in a row" but doesn't specify if they are sitting in a straight line (so three seats) or a circular arrangement. But the mention of "far left" and "far right" implies a straight line, not circular. So three seats in a row.
But the problem allows for two possible arrangements. However, the question is asking "Who is sitting on the far left?" So in the first case, Alice is far left. In the second case, Charlie is far left. So how do we determine which is correct?
Wait, maybe there's a unique solution. Let me check again. If Alice is in position 2, Bob in 3, Charlie in 1. Then Alice is not on the far right (since far right is 3, she's in 2). So that's okay. So both arrangements are possible. But the problem must have a unique answer. Maybe I made a mistake.
Wait, perhaps the problem is designed such that only one arrangement is possible. Let me think again. If Alice is in position 1, then Bob is 2, Charlie 3. Alice is not on the far right (she's on the left), which is okay. If Alice is in position 2, Bob in 3, Charlie in 1. Both are valid. But the problem says "Alice is not on the far right," which is true in both cases. So why would the answer be unique?
Wait, maybe the problem is from a source that expects a unique answer, so perhaps there's an implicit assumption. Let me check the problem again: "Alice is not on the far right. Bob is sitting to the immediate right of Alice. Who is sitting on the far left?"
Wait, maybe the answer is Charlie. Because if Alice is in the middle, Bob is right, then Charlie is left. But if Alice is on the far left, Bob next, Charlie on the right. But both are possible. However, maybe the problem expects that Alice cannot be on the far left because of some other reason. Wait, the problem only states that Alice is not on the far right</t>
  </si>
  <si>
    <t>2026-09-16 11:11:37</t>
  </si>
  <si>
    <t>data/responses/Q08_PHI.json</t>
  </si>
  <si>
    <t>Q08_DSR1</t>
  </si>
  <si>
    <t>[FINAL ANSWER]
Let's determine the seating arrangement step by step.
1. **Alice is not on the far right.**
   - This means Alice can be either in the first or the second position.
2. **Bob is sitting immediately to the right of Alice.**
   - If Alice is in the first position, then Bob must be in the second position.
   - If Alice is in the second position, then Bob would have to be in the third position.
3. **Analyzing the possibilities:**
   - **Case 1:** Alice in the first position.
     - Bob is in the second position.
     - Charlie must be in the third position.
     - **Seating Arrangement:** Alice (1st), Bob (2nd), Charlie (3rd).
   - **Case 2:** Alice in the second position.
     - Bob is in the third position.
     - This would place Alice in the middle, which contradicts the information that Alice is not on the far right.
     - **This case is invalid.**
4. **Conclusion:**
   - The only valid seating arrangement is:
     - **Alice** in the first position.
     - **Bob** in the second position.
     - **Charlie** in the third position.
\[
\boxed{\text{Alice, Bob, Charlie}}
\]
[THINKING PROCESS (&lt;think&gt;)]
First, I note that Alice is not sitting on the far right. This means Alice can be either in the first or the second position.
Next, Bob is sitting immediately to the right of Alice. If Alice is in the first position, then Bob must be in the second position. This would leave Charlie to be in the third position.
If Alice were in the second position, Bob would have to be in the third position. However, this would place Alice in the middle, which contradicts the information that Alice is not on the far right.
Therefore, the only valid arrangement is Alice in the first position, Bob in the second position, and Charlie in the third position.</t>
  </si>
  <si>
    <t>2026-09-16 11:24:59</t>
  </si>
  <si>
    <t>data/responses/Q08_DSR1.json</t>
  </si>
  <si>
    <t>Q08_QWEN</t>
  </si>
  <si>
    <t>&lt;think&gt;
Okay, let's try to figure out this seating arrangement problem. So, we have Alice, Bob, and Charlie sitting in a row. The question says Alice is not on the far right. Also, Bob is sitting to the immediate right of Alice. We need to determine who is sitting on the far left. Let me break this down step by step.
First, let me recall that there are three people: Alice, Bob, and Charlie. They are sitting in a row, which means there are three seats in a straight line. The positions can be considered as left to right: Position 1 (far left), Position 2 (middle), and Position 3 (far right).
The first condition is that Alice is not on the far right. So Alice cannot be in Position 3. That leaves Alice possibly in Position 1 or Position 2.
The second condition is that Bob is sitting to the immediate right of Alice. That means wherever Alice is sitting, Bob must be directly to her right. So if Alice is in Position 1, Bob would be in Position 2. If Alice is in Position 2, Bob would be in Position 3. However, we also know that Alice cannot be in Position 3, so those are the only two possibilities for Alice's position.
Let me consider each possibility one by one.
First possibility: Alice is in Position 1. Then Bob must be in Position 2 (since he's immediately to the right of Alice). That leaves Charlie to be in Position 3. Let me check if this satisfies all conditions. Alice is not on the far right (she's in Position 1), which is good. Bob is immediately to the right of Alice (Position 1 and 2), which is also good. So this arrangement would be Alice, Bob, Charlie. Then the far left is Alice. But let me check the other possibility to make sure there isn't another solution.
Second possibility: Alice is in Position 2. Then Bob must be in Position 3 (immediately to the right). That leaves Charlie to be in Position 1. Let's check the conditions. Alice is not on the far right (she's in Position 2), which is okay. Bob is immediately to the right of Alice (Position 2 and 3), which is correct. So this arrangement would be Charlie, Alice, Bob. In this case, the far left is Charlie.
Wait, so there are two possible arrangements? But the question says "Deduce the exact left-to-right seating arrangement step by step." So maybe there's only one solution? Did I make a mistake here?
Let me check again. The problem states that Alice is not on the far right. So both possibilities where Alice is in Position 1 or 2 are allowed. However, the second condition is that Bob is immediately to the right of Alice. So if Alice is in Position 2, Bob is in Position 3. Then Charlie is in Position 1. But is there any other constraints? The problem doesn't mention anything about Charlie's position. So both arrangements seem possible?
But the question asks "Who is sitting on the far left?" implying there is a unique answer. Maybe I missed something?
Wait, let me think again. Let me list both possibilities:
Case 1: Alice (Position 1), Bob (Position 2), Charlie (Position 3). Far left is Alice.
Case 2: Charlie (Position 1), Alice (Position 2), Bob (Position 3). Far left is Charlie.
But the problem says "Alice is not on the far right." In both cases, Alice is not on the far right. So both cases satisfy the given conditions. Therefore, there are two possible solutions? But the question seems to expect a single answer. Maybe there's an implicit assumption here?
Wait, maybe there's something wrong with my reasoning. Let me check again.
If there are three seats, and Alice cannot be on the far right, so she can be in seat 1 or 2. If she is in seat 1, Bob is in seat 2, so Charlie is in seat 3. If she is in seat 2, Bob is in seat 3, so Charlie is in seat 1. Both are valid. Therefore, there are two possible arrangements. However, the problem says "Deduce the exact left-to-right seating arrangement." Maybe there's more constraints?
Wait, maybe I need to check if there are any other constraints. The problem says "Alice, Bob, and Charlie are sitting in a row." So all three are seated, no one is missing. The problem doesn't mention anything else. Therefore, both arrangements are possible. But the question is asking "Who is sitting on the far left?" So maybe there's a unique answer? Maybe I need to check if there's something wrong with my reasoning.
Alternatively, maybe the problem assumes that there are three seats, so positions 1, 2,
&lt;/think&gt;</t>
  </si>
  <si>
    <t>2026-09-16 11:32:29</t>
  </si>
  <si>
    <t>data/responses/Q08_QWEN.json</t>
  </si>
  <si>
    <t>Q09_PHI</t>
  </si>
  <si>
    <t>Q09</t>
  </si>
  <si>
    <t>&lt;think&gt;
Okay, so I need to figure out how to measure exactly 4 liters using a 3-liter jug and a 5-liter jug. Hmm, let's see. I remember these kinds of problems usually involve filling, pouring, and emptying different amounts. Let me start by recalling the classic water jug problem solutions. 
First, maybe I should write down the capacities: 3L and 5L. The goal is to get 4L. Since 4 is between 3 and 5, maybe there's a way to combine them. Let me think step by step.
Let me start by considering the possible states. Each state can be represented by the amount of water in each jug. Let's denote the 5-liter jug as J5 and the 3-liter jug as J3. Initially, both are empty: (0,0). The possible operations are filling a jug to its capacity, emptying a jug, or pouring water from one jug to another until either the source is empty or the destination is full.
I need to find a sequence of operations that leads to 4 liters in one of the jugs. Let me try to outline possible steps.
One common approach is to fill the larger jug first. So, fill J5 completely: (5,0). Then pour into J3 until it's full. That would leave J5 with 5 - 3 = 2 liters. So now we have (2,3). Then empty J3: (2,0). Pour the remaining 2 liters from J5 into J3. Now J3 has 2 liters, J5 is empty: (0,2). Fill J5 again: (5,2). Pour from J5 into J3 until it's full. Since J3 can take 1 more liter (3-2=1), pour 1 liter into J3, leaving J5 with 5 - 1 = 4 liters. So J5 now has 4 liters. That seems to work!
Wait, let me check each step again to make sure.
1. Fill J5 completely: J5=5, J3=0. (5,0)
2. Pour from J5 to J3 until J3 is full. J5 has 5-3=2, J3=3. (2,3)
3. Empty J3: J3=0, J5=2. (2,0)
4. Pour from J5 to J3: J5=0, J3=2. (0,2)
5. Fill J5 completely: J5=5, J3=2. (5,2)
6. Pour from J5 to J3 until J3 is full. J3 can take 1 more liter. So pour 1 liter from J5 to J3. J5 now has 5-1=4, J3 is full at 3. (4,3)
7. Now, we have 4 liters in J5. So that's the solution.
But let me see if there's another way. Maybe starting by filling J3 first? Let's try.
1. Fill J3: (0,3)
2. Pour into J5: J5=3, J3=0. (3,0)
3. Fill J3 again: (3,3)
4. Pour into J5. J5 can take 5-3=2 liters. So pour 2 liters, J3 has 1 left. (5,1)
5. Empty J5: (0,1)
6. Pour the 1 liter from J3 to J5: (1,0)
7. Fill J3: (1,3)
8. Pour into J5: J5 can take 4 liters (5-1=4), so pour all 3 liters from J3. Now J5 has 1+3=4, J3 is empty. (4,0)
Yes, that also works. So there are at least two methods. But the problem asks to detail every pour step. Let me confirm which one is the standard solution. The first method I thought of is probably the more straightforward one. Let me write out the steps again clearly.
First method:
1. Fill the 5-liter jug completely. (5,0)
2. Pour from the 5-liter jug into the 3-liter jug until the 3-liter is full. This leaves 2 liters in the 5-liter jug. (2,3)
3. Empty the 3-liter jug. (2,0)
4. Pour the remaining 2 liters from the 5-liter jug into the 3-liter jug. (0,2)
5. Fill the 5-liter jug completely again. (5,2)
6. Pour from the 5-liter jug into the 3-liter jug until the 3-liter is full. Since the 3-liter jug already has 2 liters</t>
  </si>
  <si>
    <t>2026-09-16 11:13:20</t>
  </si>
  <si>
    <t>data/responses/Q09_PHI.json</t>
  </si>
  <si>
    <t>Q09_DSR1</t>
  </si>
  <si>
    <t>[FINAL ANSWER]
To measure exactly **4 liters** using a **3-liter jug** and a **5-liter jug**, follow these step-by-step instructions:
1. **Fill the 5-liter jug completely.**
   - **5-liter jug:** 5 liters
   - **3-liter jug:** 0 liters
2. **Pour water from the 5-liter jug into the 3-liter jug until the 3-liter jug is full.**
   - **5-liter jug:** 2 liters (5 - 3 = 2)
   - **3-liter jug:** 3 liters
3. **Empty the 3-liter jug.**
   - **5-liter jug:** 2 liters
   - **3-liter jug:** 0 liters
4. **Pour the remaining 2 liters from the 5-liter jug into the 3-liter jug.**
   - **5-liter jug:** 0 liters
   - **3-liter jug:** 2 liters
5. **Fill the 5-liter jug completely again.**
   - **5-liter jug:** 5 liters
   - **3-liter jug:** 2 liters
6. **Pour water from the 5-liter jug into the 3-liter jug until the 3-liter jug is full.**
   - Since the 3-liter jug already has 2 liters, it can only take **1 more liter** to be full.
   - **5-liter jug:** 4 liters (5 - 1 = 4)
   - **3-liter jug:** 3 liters
Now, the **5-liter jug** contains exactly **4 liters** of water.
\[
\boxed{4 \text{ liters in the 5-liter jug}}
\]
[THINKING PROCESS (&lt;think&gt;)]
To measure exactly 4 liters using a 3-liter jug and a 5-liter jug, follow these steps:
1. **Fill the 5-liter jug completely.**
   - Now, the 5-liter jug has 5 liters, and the 3-liter jug is empty.
2. **Pour water from the 5-liter jug into the 3-liter jug until the 3-liter jug is full.**
   - This leaves 2 liters in the 5-liter jug.
3. **Empty the 3-liter jug.**
   - Now, the 5-liter jug has 2 liters, and the 3-liter jug is empty.
4. **Pour the remaining 2 liters from the 5-liter jug into the 3-liter jug.**
   - The 5-liter jug is now empty, and the 3-liter jug contains 2 liters.
5. **Fill the 5-liter jug completely again.**
   - The 5-liter jug now has 5 liters, and the 3-liter jug has 2 liters.
6. **Pour water from the 5-liter jug into the 3-liter jug until the 3-liter jug is full.**
   - Since the 3-liter jug already has 2 liters, it can only take 1 more liter.
   - This leaves exactly 4 liters in the 5-liter jug.
Now, you have exactly 4 liters in the 5-liter jug.</t>
  </si>
  <si>
    <t>2026-09-16 11:26:28</t>
  </si>
  <si>
    <t>data/responses/Q09_DSR1.json</t>
  </si>
  <si>
    <t>Q09_QWEN</t>
  </si>
  <si>
    <t>&lt;think&gt;
Okay, so I need to figure out how to measure exactly 4 liters using a 3-liter jug and a 5-liter jug. Let me think about this step by step. 
First, I know that these kinds of problems usually involve filling up one jug, pouring into the other, and keeping track of the amounts. Since the jugs are 3 and 5 liters, their capacities are different, so I need to find a way to get to 4 liters. Let me recall if there's a standard method for these kinds of problems. 
I remember that the key is to use the fact that the greatest common divisor (GCD) of 3 and 5 is 1, which means we can measure any integer amount up to the sum of the capacities, which is 8 liters. Since 4 is less than 8, it should be possible. 
Let me try to outline possible steps. Maybe start by filling the 5-liter jug and then transferring water to the 3-liter jug. Let me try that.
Step 1: Fill the 5-liter jug to the top. Now, 5-liter jug has 5 liters, 3-liter is empty.
Step 2: Pour water from the 5-liter into the 3-liter jug until the 3-liter is full. That would leave 5 - 3 = 2 liters in the 5-liter jug. Now, 3-liter is full (3 liters), 5-liter has 2 liters.
Step 3: Empty the 3-liter jug. Now, 3-liter is empty, 5-liter still has 2 liters.
Step 4: Transfer the 2 liters from the 5-liter jug to the 3-liter jug. Now, 3-liter has 2 liters, 5-liter is empty.
Step 5: Fill the 5-liter jug again. Now, 5-liter has 5 liters, 3-liter has 2 liters.
Step 6: Pour from the 5-liter into the 3-liter until the 3-liter is full. Since the 3-liter already has 2 liters, it can take 1 more liter. So, pouring 1 liter from the 5-liter jug leaves 5 - 1 = 4 liters in the 5-liter jug. 
Wait, that seems to work! Let me check again:
Starting with 5-liter full (5), 3-liter empty.
Pour into 3-liter: 5-liter has 2, 3-liter has 3.
Empty 3-liter: 5 has 2, 3 is empty.
Transfer 2 liters to 3: 5 is empty, 3 has 2.
Fill 5 again: 5 has 5, 3 has 2.
Pour from 5 to 3 until 3 is full. Since 3 can take 1 more liter, 5 loses 1 liter, so 5 has 4 liters left. 
Yes! So the 5-liter jug now has exactly 4 liters. That seems to work. Let me make sure I didn't skip any steps or make a mistake in the pouring.
Alternatively, maybe there's another way? Let me try another approach to confirm.
Another method: Fill the 3-liter jug first.
Step 1: Fill 3-liter jug. Now, 3 has 3, 5 is empty.
Step 2: Pour into 5-liter. Now, 5 has 3, 3 is empty.
Step 3: Fill 3-liter again. Now, 3 has 3, 5 has 3.
Step 4: Pour from 3 into 5. Since 5 can take 5 - 3 = 2 liters, so pour 2 liters from 3 into 5. Now, 5 is full (5 liters), and 3 has 3 - 2 = 1 liter left.
Step 5: Empty the 5-liter jug. Now, 5 is empty, 3 has 1 liter.
Step 6: Transfer the 1 liter from 3 to 5. Now, 5 has 1, 3 is empty.
Step 7: Fill 3-liter again. Now, 3 has 3, 5 has 1.
Step 8: Pour from 3 into 5. 5 can take 5 - 1 = 4 liters, but 3 only has 3 liters. So pour all 3 liters into 5, making 5 have 1 + 3 = 4 liters. 
So here, the 5-liter jug has 4 liters. So this is another way. So there are multiple methods. The question says to detail every pour step. Let me check which method is more straightforward. 
The first method I thought of was filling the 5-liter first, then transferring. The second method fills the 3-liter first. Both work
&lt;/think&gt;</t>
  </si>
  <si>
    <t>2026-09-16 11:33:56</t>
  </si>
  <si>
    <t>data/responses/Q09_QWEN.json</t>
  </si>
  <si>
    <t>Q10_PHI</t>
  </si>
  <si>
    <t>Q10</t>
  </si>
  <si>
    <t>&lt;think&gt;
Okay, let's see. So, there's this logic puzzle about knights and knaves. Knights always tell the truth, knaves always lie. We meet two inhabitants, A and B. A says, "At least one of us is a Knave." We need to figure out what A and B are. Hmm. Alright, let's break this down step by step.
First, let's recall the basics. Knights always tell the truth, so whatever a Knight says is true. Knaves always lie, so whatever a Knave says is false. So, if A is a Knight, then the statement "At least one of us is a Knave" must be true. Conversely, if A is a Knave, then the statement must be false.
Let's consider the two possibilities for A: either A is a Knight or a Knave. We'll analyze each case separately.
**Case 1: A is a Knight.**
If A is a Knight, then A's statement is true. The statement is "At least one of us is a Knave." Since A is a Knight, that means A is not a Knave. Therefore, for the statement to be true, B must be the Knave. Because if A is truthful, then at least one of them is a Knave, and since A isn't, B has to be.
So in this case, A is a Knight and B is a Knave. Let's check if this holds. If B is a Knave, then B's statements would be lies. But wait, does B make any statements? The problem only mentions A's statement. So maybe we don't need to consider B's statements here. The problem only gives us A's statement. Hmm. So maybe we don't have to check B's status beyond what's necessary from A's statement.
Wait, but in this case, if A is a Knight, then B must be a Knave. So that's straightforward. Let's hold that thought.
**Case 2: A is a Knave.**
If A is a Knave, then A's statement is a lie. The statement was "At least one of us is a Knave." Since A is lying, the opposite of this statement must be true. The opposite of "at least one is a Knave" is "neither of us is a Knave." In other words, both A and B are Knights.
But wait, if both A and B are Knights, then A's statement would be true. However, we assumed A is a Knave, which would mean A's statement is false. But if both are Knights, then A's statement is true, which contradicts A being a Knave. Therefore, this case leads to a contradiction.
Wait, let me clarify that. If A is a Knave, then the negation of "at least one is a Knave" is "neither is a Knave." So, "neither A nor B is a Knave." But if A is a Knave, then "neither A nor B is a Knave" is a lie, which would mean that the original statement "at least one is a Knave" is true. But since A is a Knave, the original statement is indeed true. However, since A is a Knave, A cannot make a true statement. Therefore, this leads to a contradiction. Therefore, Case 2 is impossible.
Therefore, only Case 1 is possible: A is a Knight and B is a Knave.
Wait, but let me check again. If A is a Knave, then the negation of "at least one is a Knave" is "neither is a Knave." So, if A is a Knave, then "neither is a Knave" would be false, which means "at least one is a Knave" is true. But since A is a Knave, the statement "at least one is a Knave" is true. However, since A is a Knave, they cannot make a true statement. Therefore, this is a contradiction. Therefore, A cannot be a Knave. Therefore, A must be a Knight, and hence B is a Knave.
Alternatively, maybe I should structure this with formal logic.
Let me denote:
Let K(x) mean x is a Knight (truth-teller).
Let K(a) mean A is a Knight.
Similarly, K(b) for B.
We know that either K(A) or K(B) is true for each individual, but they can be mixed.
A says: "At least one of us is a Knave." In logical terms, this is ¬K(A) ∨ ¬K(B). Because "at least one is a Knave" is equivalent to "either A is a Knave or B is a Knave."
So, A's statement is ¬K(A) ∨ ¬K(B).
Now, if A is a Knight (K(A)), then the statement must</t>
  </si>
  <si>
    <t>2026-09-16 11:20:03</t>
  </si>
  <si>
    <t>data/responses/Q10_PHI.json</t>
  </si>
  <si>
    <t>Q10_DSR1</t>
  </si>
  <si>
    <t>&lt;think&gt;
Okay, so I have this logic puzzle here about two inhabitants, A and B, on an island where everyone is either a Knight who always tells the truth or a Knave who always lies. A says, "At least one of us is a Knave." I need to figure out whether A is a Knight or a Knave, and the same for B. Hmm, let me think through this step by step.
First, let me recall that Knights always tell the truth, so whatever they say must be true. Knaves always lie, so whatever they say must be false. So, if A is a Knight, then A's statement must be true. If A is a Knave, then A's statement must be false.
A says, "At least one of us is a Knave." So, let's break this down. The statement "at least one of us is a Knave" can be translated into logical terms as "A is a Knave or B is a Knave." In symbols, that would be A ∨ B, where A and B represent whether A and B are Knaves, respectively. Wait, actually, hold on. If A is a Knight, then A tells the truth, so "at least one of us is a Knave" must be true. If A is a Knave, then the statement is false, so "at least one of us is a Knave" is false, meaning neither A nor B is a Knave, so both would be Knights.
But wait, if both are Knights, then A's statement would be true, which is consistent because A is a Knight. But hold on, if A is a Knight, then A's statement is true, so at least one of them is a Knave. But if A is a Knight, then B must be the Knave. So, that would mean B is a Knave.
Alternatively, if A is a Knave, then A's statement is false. So, the statement "at least one of us is a Knave" is false. If that's the case, then the opposite must be true, which is "neither of us is a Knave," meaning both A and B are Knights. But if both are Knights, then A's statement would be true, which contradicts the assumption that A is a Knave. So, that can't be the case.
Wait, so if A is a Knave, then A's statement is false, which would mean that neither A nor B is a Knave, so both are Knights. But if both are Knights, then A's statement is true, which can't be because A is supposed to be a Knave. So, that leads to a contradiction. Therefore, A cannot be a Knave. Therefore, A must be a Knight, and since A is a Knight, A's statement is true, so at least one of them is a Knave. Since A is a Knight, that means B must be the Knave.
Let me write this out in a more structured way to make sure I haven't missed anything.
Case 1: A is a Knight.
- If A is a Knight, then A's statement is true.
- A's statement: "At least one of us is a Knave." So, this is true.
- Since A is a Knight, the only way for the statement to be true is if B is a Knave.
- Therefore, in this case, A is a Knight, and B is a Knave.
Case 2: A is a Knave.
- If A is a Knave, then A's statement is false.
- A's statement: "At least one of us is a Knave." So, the negation is "Neither of us is a Knave," meaning both A and B are Knights.
- But if both A and B are Knights, then A's statement would be true, which contradicts the assumption that A is a Knave.
- Therefore, this case leads to a contradiction, so it cannot be true.
Since Case 2 leads to a contradiction, it must be false. Therefore, Case 1 must be true. So, A is a Knight, and B is a Knave.
Wait, just to double-check, let me consider the possibilities:
1. A is a Knight, B is a Knight.
   - A's statement: "At least one of us is a Knave." This would be false because both are Knights. But A is a Knight, so he must tell the truth. Contradiction.
2. A is a Knight, B is a Knave.
   - A's statement: "At least one of us is a Knave." This is true because B is a Knave. So, consistent.
3. A is a Knave, B is a Knight.
   - A's statement: "At least one of us is a Knave." Since A is a Knave, the
&lt;/think&gt;</t>
  </si>
  <si>
    <t>2026-09-16 11:27:36</t>
  </si>
  <si>
    <t>data/responses/Q10_DSR1.json</t>
  </si>
  <si>
    <t>Q10_QWEN</t>
  </si>
  <si>
    <t>&lt;think&gt;
Okay, so I need to figure out whether A and B are Knights or Knaves based on A's statement. Let me start by recalling that Knights always tell the truth, and Knaves always lie. The statement A makes is: "At least one of us is a Knave." 
First, let me consider the possibilities. There are two inhabitants, A and B. Each can be either a Knight or a Knave. So there are four possible combinations:
1. A is a Knight and B is a Knight.
2. A is a Knight and B is a Knave.
3. A is a Knave and B is a Knight.
4. A is a Knave and B is a Knave.
Now, I need to check which of these scenarios are consistent with A's statement. Let me go through each case one by one.
**Case 1: Both A and B are Knights.**
If A is a Knight, then A's statement must be true. The statement is "At least one of us is a Knave." But in this case, both are Knights, so there are no Knaves. Therefore, the statement "At least one of us is a Knave" would be false. However, since A is supposed to be a Knight (truth-teller), this leads to a contradiction. Therefore, this case is impossible.
**Case 2: A is a Knight and B is a Knave.**
Since A is a Knight, A's statement must be true. The statement is "At least one of us is a Knave." In this case, B is a Knave, so the statement is true. Therefore, this case is consistent. So this is a possible scenario.
**Case 3: A is a Knave and B is a Knight.**
Since A is a Knave, A's statement must be false. The statement is "At least one of us is a Knave." If this statement is false, then the negation must be true. The negation of "At least one of us is a Knave" is "Neither A nor B is a Knave," which means both are Knights. However, in this case, we assumed A is a Knave and B is a Knight. Therefore, the negation would be false because A is a Knave. Wait, this seems contradictory. Let me check again.
Original statement: "At least one of us is a Knave." If A is lying, then the actual truth is that "At least one of us is a Knave" is false, which means "Neither A nor B is a Knave," i.e., both are Knights. But in this case, we have A as a Knave and B as a Knight. Therefore, the actual truth is that A is a Knave, so the negation of the statement is false. Therefore, there's a contradiction here. Therefore, this case cannot hold. Wait, maybe I need to think more carefully.
Let me formalize this. Let me denote:
Let S be the statement: "At least one of us is a Knave."
If A is a Knave, then S is false. Therefore, the negation of S is true. The negation of "At least one is a Knave" is "Neither A nor B is a Knave," which is equivalent to "Both A and B are Knights." However, in this case, we are assuming A is a Knave and B is a Knight. Therefore, the negation would be false because A is a Knave. Therefore, there's a contradiction here. Therefore, Case 3 is impossible.
**Case 4: Both A and B are Knaves.**
If A is a Knave, then A's statement is false. The statement is "At least one of us is a Knave." If this is false, then the negation is true: "Neither A nor B is a Knave," meaning both are Knights. But in this case, both are Knaves, so the negation is false. Therefore, this leads to a contradiction. Therefore, Case 4 is impossible.
So summarizing:
- Case 1: Contradiction.
- Case 2: Possible.
- Case 3: Contradiction.
- Case 4: Contradiction.
Therefore, the only possible case is Case 2: A is a Knight and B is a Knave.
Wait, but let me check again. In Case 3, if A is a Knave and B is a Knight, then A's statement is "At least one of us is a Knave." Since A is lying, the truth is that "At least one of us is a Knave" is false, which would mean that both are Knights. But in reality, A is a Knave and B is a Knight, so there is at least one Knave (A). Therefore, the statement "At least one of us
&lt;/think&gt;</t>
  </si>
  <si>
    <t>2026-09-16 11:35:11</t>
  </si>
  <si>
    <t>data/responses/Q10_QWEN.json</t>
  </si>
  <si>
    <t>Q11_PHI</t>
  </si>
  <si>
    <t>Q11</t>
  </si>
  <si>
    <t>Programming reasoning</t>
  </si>
  <si>
    <t>data/responses/Q11_PHI.json</t>
  </si>
  <si>
    <t>Q11_DSR1</t>
  </si>
  <si>
    <t>data/responses/Q11_DSR1.json</t>
  </si>
  <si>
    <t>Q11_QWEN</t>
  </si>
  <si>
    <t>data/responses/Q11_QWEN.json</t>
  </si>
  <si>
    <t>Q12_PHI</t>
  </si>
  <si>
    <t>Q12</t>
  </si>
  <si>
    <t>data/responses/Q12_PHI.json</t>
  </si>
  <si>
    <t>Q12_DSR1</t>
  </si>
  <si>
    <t>data/responses/Q12_DSR1.json</t>
  </si>
  <si>
    <t>Q12_QWEN</t>
  </si>
  <si>
    <t>data/responses/Q12_QWEN.json</t>
  </si>
  <si>
    <t>Q13_PHI</t>
  </si>
  <si>
    <t>Q13</t>
  </si>
  <si>
    <t>data/responses/Q13_PHI.json</t>
  </si>
  <si>
    <t>Q13_DSR1</t>
  </si>
  <si>
    <t>data/responses/Q13_DSR1.json</t>
  </si>
  <si>
    <t>Q13_QWEN</t>
  </si>
  <si>
    <t>data/responses/Q13_QWEN.json</t>
  </si>
  <si>
    <t>Q14_PHI</t>
  </si>
  <si>
    <t>Q14</t>
  </si>
  <si>
    <t>data/responses/Q14_PHI.json</t>
  </si>
  <si>
    <t>Q14_DSR1</t>
  </si>
  <si>
    <t>data/responses/Q14_DSR1.json</t>
  </si>
  <si>
    <t>Q14_QWEN</t>
  </si>
  <si>
    <t>data/responses/Q14_QWEN.json</t>
  </si>
  <si>
    <t>Q15_PHI</t>
  </si>
  <si>
    <t>Q15</t>
  </si>
  <si>
    <t>data/responses/Q15_PHI.json</t>
  </si>
  <si>
    <t>Q15_DSR1</t>
  </si>
  <si>
    <t>data/responses/Q15_DSR1.json</t>
  </si>
  <si>
    <t>Q15_QWEN</t>
  </si>
  <si>
    <t>data/responses/Q15_QWEN.json</t>
  </si>
  <si>
    <t>Benchmarking Metrics Summary (Page 3 Calculations)</t>
  </si>
  <si>
    <t>Fully Correct Rate (%)</t>
  </si>
  <si>
    <t>Average Quality Score (0-8)</t>
  </si>
  <si>
    <t>Average Response Time (s)</t>
  </si>
  <si>
    <t>Average Tokens/sec</t>
  </si>
  <si>
    <t>Official Response Scoring Rubric (Project Plan Page 3)</t>
  </si>
  <si>
    <t>Criterion</t>
  </si>
  <si>
    <t>2 Points</t>
  </si>
  <si>
    <t>1 Point</t>
  </si>
  <si>
    <t>0 Points</t>
  </si>
  <si>
    <t>Final answer</t>
  </si>
  <si>
    <t>Correct</t>
  </si>
  <si>
    <t>Partly correct</t>
  </si>
  <si>
    <t>Incorrect</t>
  </si>
  <si>
    <t>Reasoning quality</t>
  </si>
  <si>
    <t>Clear and logical</t>
  </si>
  <si>
    <t>Some unclear or missing steps</t>
  </si>
  <si>
    <t>Illogical or unsupported</t>
  </si>
  <si>
    <t>Instruction following</t>
  </si>
  <si>
    <t>Fully follows the request</t>
  </si>
  <si>
    <t>Partly follows</t>
  </si>
  <si>
    <t>Does not follow</t>
  </si>
  <si>
    <t>Factual support</t>
  </si>
  <si>
    <t>No invented claim</t>
  </si>
  <si>
    <t>Minor unsupported claim</t>
  </si>
  <si>
    <t>Major invented information</t>
  </si>
  <si>
    <t>Frozen 15-Question Benchmark &amp; Verified Answer Key (Project Plan Page 3 &amp; 4)</t>
  </si>
  <si>
    <t>Exact Prompt Wording</t>
  </si>
  <si>
    <t>Verified Final Answer</t>
  </si>
  <si>
    <t>Expected Key Reasoning Points</t>
  </si>
  <si>
    <t>Solve for x: 3x + 12 = 30. Show each step of your calculation clearly and state the final numerical value of x.</t>
  </si>
  <si>
    <t>A store offers a 20% discount on an item originally priced at $80. What is the final sale price? Show your work.</t>
  </si>
  <si>
    <t>Calculate the total number of trailing zeroes in 100! (100 factorial). Explain the mathematical reasoning behind your method.</t>
  </si>
  <si>
    <t>Find the next two numbers in the sequence: 2, 6, 12, 20, 30, ... Explain the underlying rule governing the pattern.</t>
  </si>
  <si>
    <t>Three fair standard six-sided dice are rolled simultaneously. What is the exact probability that the sum of the numbers rolled is equal to 10? Express your answer as a simplified fraction and explain each step.</t>
  </si>
  <si>
    <t>A farmer has 17 sheep, and all but 9 die. How many live sheep does the farmer have left? State your answer and briefly explain the logic.</t>
  </si>
  <si>
    <t>All roses are flowers. Some flowers fade quickly. Does it strictly follow that some roses fade quickly? Answer with 'Yes' or 'No' and provide a formal logical justification.</t>
  </si>
  <si>
    <t>Alice, Bob, and Charlie are sitting in a row. Alice is not on the far right. Bob is sitting to the immediate right of Alice. Who is sitting on the far left? Deduce the exact left-to-right seating arrangement step by step.</t>
  </si>
  <si>
    <t>You have a 3-liter jug and a 5-liter jug, and an unlimited supply of water. How can you measure out exactly 4 liters using only these two jugs without any measuring scales? Detail every pour step.</t>
  </si>
  <si>
    <t>On an island, inhabitants are either Knights (who always tell the truth) or Knaves (who always lie). You meet two inhabitants, A and B. A says: 'At least one of us is a Knave.' Determine precisely what A is and what B is. Provide a rigorous proof by cases.</t>
  </si>
  <si>
    <t>Write a clean Python function `is_palindrome(s: str) -&gt; bool` that checks if a string is a palindrome, ignoring non-alphanumeric characters and case. Provide a brief trace of why it works.</t>
  </si>
  <si>
    <t>Trace the execution of this Python code snippet and determine the exact printed output:
x = [1, 2, 3]
y = x
y.append(4)
print(len(x), x == y)
Explain why `len(x)` is affected.</t>
  </si>
  <si>
    <t>Identify the bug in the following binary search implementation and explain how to fix it:
def binary_search(arr, target):
    low = 0
    high = len(arr)
    while low &lt; high:
        mid = (low + high) // 2
        if arr[mid] == target:
            return mid
        elif arr[mid] &lt; target:
            low = mid
        else:
            high = mid - 1
    return -1</t>
  </si>
  <si>
    <t>Describe Floyd's Cycle-Finding Algorithm (Tortoise and Hare) for detecting a loop in a singly linked list. Explain why the time complexity is O(N) and the auxiliary space complexity is O(1).</t>
  </si>
  <si>
    <t>Propose an optimal algorithm in Python to find the Longest Increasing Subsequence (LIS) in O(N log N) time complexity using patience sorting / binary search. Provide the complete code, step-by-step invariant explanation, and complexity analysis.</t>
  </si>
  <si>
    <t>After each benchmark is done, it has automatically free VRAM to be ready for the next benchmark.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</si>
</sst>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0"/>
      <color rgb="FFFFFFFF"/>
      <name val="Segoe UI"/>
    </font>
    <font>
      <sz val="10"/>
      <name val="Segoe UI"/>
    </font>
    <font>
      <b/>
      <sz val="12"/>
      <name val="Segoe UI"/>
    </font>
    <font>
      <b/>
      <sz val="10"/>
      <name val="Segoe UI"/>
    </font>
    <font>
      <sz val="10"/>
      <name val="Segoe UI"/>
      <family val="2"/>
    </font>
    <font>
      <sz val="36"/>
      <color theme="1"/>
      <name val="Calibri"/>
      <family val="2"/>
      <scheme val="minor"/>
    </font>
  </fonts>
  <fills count="4">
    <fill>
      <patternFill patternType="none"/>
    </fill>
    <fill>
      <patternFill patternType="gray125"/>
    </fill>
    <fill>
      <patternFill patternType="solid">
        <fgColor rgb="FF1F2937"/>
        <bgColor rgb="FF1F2937"/>
      </patternFill>
    </fill>
    <fill>
      <patternFill patternType="solid">
        <fgColor rgb="FF374151"/>
        <bgColor rgb="FF374151"/>
      </patternFill>
    </fill>
  </fills>
  <borders count="3">
    <border>
      <left/>
      <right/>
      <top/>
      <bottom/>
      <diagonal/>
    </border>
    <border>
      <left style="thin">
        <color rgb="FFE5E7EB"/>
      </left>
      <right style="thin">
        <color rgb="FFE5E7EB"/>
      </right>
      <top style="thin">
        <color rgb="FFE5E7EB"/>
      </top>
      <bottom style="thin">
        <color rgb="FFE5E7EB"/>
      </bottom>
      <diagonal/>
    </border>
    <border>
      <left style="thin">
        <color rgb="FFE5E7EB"/>
      </left>
      <right style="thin">
        <color rgb="FFE5E7EB"/>
      </right>
      <top style="thin">
        <color rgb="FFE5E7EB"/>
      </top>
      <bottom style="thin">
        <color rgb="FFE5E7EB"/>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3" fillId="0" borderId="0" xfId="0" applyFont="1"/>
    <xf numFmtId="0" fontId="4" fillId="0" borderId="1" xfId="0" applyFont="1" applyBorder="1" applyAlignment="1">
      <alignment horizontal="left" vertical="center"/>
    </xf>
    <xf numFmtId="0" fontId="2" fillId="0" borderId="1" xfId="0" applyFont="1" applyBorder="1" applyAlignment="1">
      <alignment horizontal="center" vertical="center"/>
    </xf>
    <xf numFmtId="0" fontId="1" fillId="3" borderId="1" xfId="0" applyFont="1" applyFill="1" applyBorder="1" applyAlignment="1">
      <alignment horizontal="center" vertical="center"/>
    </xf>
    <xf numFmtId="0" fontId="2" fillId="0" borderId="1" xfId="0" applyFont="1" applyBorder="1" applyAlignment="1">
      <alignment horizontal="left" vertical="top" wrapText="1"/>
    </xf>
    <xf numFmtId="0" fontId="2" fillId="0" borderId="2" xfId="0" applyFont="1" applyBorder="1" applyAlignment="1">
      <alignment horizontal="left" vertical="center" wrapText="1"/>
    </xf>
    <xf numFmtId="0" fontId="2" fillId="0" borderId="2" xfId="0" applyFont="1" applyBorder="1" applyAlignment="1">
      <alignment horizontal="center" vertical="center" wrapText="1"/>
    </xf>
    <xf numFmtId="0" fontId="2" fillId="0" borderId="2" xfId="0" applyFont="1" applyBorder="1" applyAlignment="1">
      <alignment horizontal="center" vertical="center"/>
    </xf>
    <xf numFmtId="0" fontId="2" fillId="0" borderId="2" xfId="0" applyFont="1" applyBorder="1" applyAlignment="1">
      <alignment horizontal="left" vertical="center"/>
    </xf>
    <xf numFmtId="0" fontId="2" fillId="0" borderId="2" xfId="0" applyFont="1" applyBorder="1" applyAlignment="1">
      <alignment horizontal="left" vertical="top" wrapText="1"/>
    </xf>
    <xf numFmtId="0" fontId="0" fillId="0" borderId="0" xfId="0" applyAlignment="1">
      <alignment horizontal="center" vertical="center"/>
    </xf>
    <xf numFmtId="0" fontId="6" fillId="0" borderId="0" xfId="0" applyFont="1" applyAlignment="1">
      <alignment horizontal="center" vertical="center"/>
    </xf>
    <xf numFmtId="0" fontId="5" fillId="0" borderId="2" xfId="0" applyFont="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53"/>
  <sheetViews>
    <sheetView tabSelected="1" zoomScale="40" zoomScaleNormal="40" workbookViewId="0">
      <pane xSplit="3" ySplit="1" topLeftCell="D17" activePane="bottomRight" state="frozen"/>
      <selection pane="topRight"/>
      <selection pane="bottomLeft"/>
      <selection pane="bottomRight" activeCell="AO30" sqref="AO30"/>
    </sheetView>
  </sheetViews>
  <sheetFormatPr defaultRowHeight="14.4"/>
  <cols>
    <col min="1" max="1" width="14" customWidth="1"/>
    <col min="2" max="2" width="13" customWidth="1"/>
    <col min="3" max="3" width="22" customWidth="1"/>
    <col min="4" max="4" width="24" customWidth="1"/>
    <col min="5" max="5" width="12" customWidth="1"/>
    <col min="6" max="6" width="38" customWidth="1"/>
    <col min="7" max="7" width="48" customWidth="1"/>
    <col min="8" max="8" width="20" customWidth="1"/>
    <col min="9" max="9" width="23" customWidth="1"/>
    <col min="10" max="10" width="25" customWidth="1"/>
    <col min="11" max="11" width="20" customWidth="1"/>
    <col min="12" max="12" width="18" customWidth="1"/>
    <col min="13" max="13" width="20" customWidth="1"/>
    <col min="14" max="14" width="18" customWidth="1"/>
    <col min="15" max="15" width="23" customWidth="1"/>
    <col min="16" max="17" width="14" customWidth="1"/>
    <col min="18" max="18" width="16" customWidth="1"/>
    <col min="19" max="20" width="18" customWidth="1"/>
    <col min="21" max="21" width="26" customWidth="1"/>
    <col min="22" max="22" width="32" customWidth="1"/>
    <col min="24" max="24" width="8.88671875" customWidth="1"/>
  </cols>
  <sheetData>
    <row r="1" spans="1:22" ht="28.0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39.6" customHeight="1">
      <c r="A2" s="2" t="s">
        <v>22</v>
      </c>
      <c r="B2" s="2" t="s">
        <v>23</v>
      </c>
      <c r="C2" s="3" t="s">
        <v>24</v>
      </c>
      <c r="D2" s="3" t="s">
        <v>25</v>
      </c>
      <c r="E2" s="2" t="s">
        <v>26</v>
      </c>
      <c r="F2" s="9" t="str">
        <f>'Question Bank &amp; Key'!D3</f>
        <v>Solve for x: 3x + 12 = 30. Show each step of your calculation clearly and state the final numerical value of x.</v>
      </c>
      <c r="G2" s="9" t="s">
        <v>27</v>
      </c>
      <c r="H2" s="10"/>
      <c r="I2" s="10"/>
      <c r="J2" s="10"/>
      <c r="K2" s="10"/>
      <c r="L2" s="10" t="str">
        <f t="shared" ref="L2:L46" si="0">IF(COUNT(H2:K2)&gt;0, SUM(H2:K2), "")</f>
        <v/>
      </c>
      <c r="M2" s="10" t="s">
        <v>28</v>
      </c>
      <c r="N2" s="10">
        <v>25.466000000000001</v>
      </c>
      <c r="O2" s="10">
        <v>18.619</v>
      </c>
      <c r="P2" s="10">
        <v>700</v>
      </c>
      <c r="Q2" s="10">
        <f t="shared" ref="Q2:Q46" si="1">IF(AND(ISNUMBER(O2), O2&gt;0, ISNUMBER(P2)), ROUND(P2/O2, 2), IF(AND(ISNUMBER(N2), N2&gt;0, ISNUMBER(P2)), ROUND(P2/N2, 2), ""))</f>
        <v>37.6</v>
      </c>
      <c r="R2" s="10">
        <v>3.64</v>
      </c>
      <c r="S2" s="10" t="s">
        <v>29</v>
      </c>
      <c r="T2" s="10" t="s">
        <v>30</v>
      </c>
      <c r="U2" s="9" t="s">
        <v>31</v>
      </c>
      <c r="V2" s="9"/>
    </row>
    <row r="3" spans="1:22" ht="39.6" customHeight="1">
      <c r="A3" s="2" t="s">
        <v>32</v>
      </c>
      <c r="B3" s="2" t="s">
        <v>23</v>
      </c>
      <c r="C3" s="3" t="s">
        <v>33</v>
      </c>
      <c r="D3" s="3" t="s">
        <v>25</v>
      </c>
      <c r="E3" s="2" t="s">
        <v>26</v>
      </c>
      <c r="F3" s="9" t="str">
        <f>'Question Bank &amp; Key'!D3</f>
        <v>Solve for x: 3x + 12 = 30. Show each step of your calculation clearly and state the final numerical value of x.</v>
      </c>
      <c r="G3" s="9" t="s">
        <v>34</v>
      </c>
      <c r="H3" s="10"/>
      <c r="I3" s="10"/>
      <c r="J3" s="10"/>
      <c r="K3" s="10"/>
      <c r="L3" s="10" t="str">
        <f t="shared" si="0"/>
        <v/>
      </c>
      <c r="M3" s="10" t="s">
        <v>35</v>
      </c>
      <c r="N3" s="10">
        <v>18.13</v>
      </c>
      <c r="O3" s="10">
        <v>10.423</v>
      </c>
      <c r="P3" s="10">
        <v>260</v>
      </c>
      <c r="Q3" s="10">
        <f t="shared" si="1"/>
        <v>24.94</v>
      </c>
      <c r="R3" s="10">
        <v>4.53</v>
      </c>
      <c r="S3" s="10" t="s">
        <v>29</v>
      </c>
      <c r="T3" s="10" t="s">
        <v>30</v>
      </c>
      <c r="U3" s="9" t="s">
        <v>36</v>
      </c>
      <c r="V3" s="9"/>
    </row>
    <row r="4" spans="1:22" ht="39.6" customHeight="1">
      <c r="A4" s="2" t="s">
        <v>37</v>
      </c>
      <c r="B4" s="2" t="s">
        <v>23</v>
      </c>
      <c r="C4" s="3" t="s">
        <v>38</v>
      </c>
      <c r="D4" s="3" t="s">
        <v>25</v>
      </c>
      <c r="E4" s="2" t="s">
        <v>26</v>
      </c>
      <c r="F4" s="9" t="str">
        <f>'Question Bank &amp; Key'!D3</f>
        <v>Solve for x: 3x + 12 = 30. Show each step of your calculation clearly and state the final numerical value of x.</v>
      </c>
      <c r="G4" s="9" t="s">
        <v>39</v>
      </c>
      <c r="H4" s="10"/>
      <c r="I4" s="10"/>
      <c r="J4" s="10"/>
      <c r="K4" s="10"/>
      <c r="L4" s="10" t="str">
        <f t="shared" si="0"/>
        <v/>
      </c>
      <c r="M4" s="10" t="s">
        <v>40</v>
      </c>
      <c r="N4" s="10">
        <v>32.939</v>
      </c>
      <c r="O4" s="10">
        <v>28.401</v>
      </c>
      <c r="P4" s="10">
        <v>863</v>
      </c>
      <c r="Q4" s="10">
        <f t="shared" si="1"/>
        <v>30.39</v>
      </c>
      <c r="R4" s="10">
        <v>5.35</v>
      </c>
      <c r="S4" s="10" t="s">
        <v>29</v>
      </c>
      <c r="T4" s="10" t="s">
        <v>30</v>
      </c>
      <c r="U4" s="9" t="s">
        <v>41</v>
      </c>
      <c r="V4" s="9"/>
    </row>
    <row r="5" spans="1:22" ht="39.6" customHeight="1">
      <c r="A5" s="2" t="s">
        <v>42</v>
      </c>
      <c r="B5" s="2" t="s">
        <v>43</v>
      </c>
      <c r="C5" s="3" t="s">
        <v>24</v>
      </c>
      <c r="D5" s="3" t="s">
        <v>25</v>
      </c>
      <c r="E5" s="2" t="s">
        <v>26</v>
      </c>
      <c r="F5" s="9" t="str">
        <f>'Question Bank &amp; Key'!D4</f>
        <v>A store offers a 20% discount on an item originally priced at $80. What is the final sale price? Show your work.</v>
      </c>
      <c r="G5" s="9" t="s">
        <v>44</v>
      </c>
      <c r="H5" s="10"/>
      <c r="I5" s="10"/>
      <c r="J5" s="10"/>
      <c r="K5" s="10"/>
      <c r="L5" s="10" t="str">
        <f t="shared" si="0"/>
        <v/>
      </c>
      <c r="M5" s="10" t="s">
        <v>45</v>
      </c>
      <c r="N5" s="10">
        <v>23.681999999999999</v>
      </c>
      <c r="O5" s="10">
        <v>17.302</v>
      </c>
      <c r="P5" s="10">
        <v>627</v>
      </c>
      <c r="Q5" s="10">
        <f t="shared" si="1"/>
        <v>36.24</v>
      </c>
      <c r="R5" s="10">
        <v>3.64</v>
      </c>
      <c r="S5" s="10" t="s">
        <v>29</v>
      </c>
      <c r="T5" s="10" t="s">
        <v>30</v>
      </c>
      <c r="U5" s="9" t="s">
        <v>46</v>
      </c>
      <c r="V5" s="9"/>
    </row>
    <row r="6" spans="1:22" ht="39.6" customHeight="1">
      <c r="A6" s="2" t="s">
        <v>47</v>
      </c>
      <c r="B6" s="2" t="s">
        <v>43</v>
      </c>
      <c r="C6" s="3" t="s">
        <v>33</v>
      </c>
      <c r="D6" s="3" t="s">
        <v>25</v>
      </c>
      <c r="E6" s="2" t="s">
        <v>26</v>
      </c>
      <c r="F6" s="9" t="str">
        <f>'Question Bank &amp; Key'!D4</f>
        <v>A store offers a 20% discount on an item originally priced at $80. What is the final sale price? Show your work.</v>
      </c>
      <c r="G6" s="9" t="s">
        <v>48</v>
      </c>
      <c r="H6" s="10"/>
      <c r="I6" s="10"/>
      <c r="J6" s="10"/>
      <c r="K6" s="10"/>
      <c r="L6" s="10" t="str">
        <f t="shared" si="0"/>
        <v/>
      </c>
      <c r="M6" s="10" t="s">
        <v>49</v>
      </c>
      <c r="N6" s="10">
        <v>15.942</v>
      </c>
      <c r="O6" s="10">
        <v>8.4930000000000003</v>
      </c>
      <c r="P6" s="10">
        <v>197</v>
      </c>
      <c r="Q6" s="10">
        <f t="shared" si="1"/>
        <v>23.2</v>
      </c>
      <c r="R6" s="10">
        <v>4.53</v>
      </c>
      <c r="S6" s="10" t="s">
        <v>29</v>
      </c>
      <c r="T6" s="10" t="s">
        <v>30</v>
      </c>
      <c r="U6" s="9" t="s">
        <v>50</v>
      </c>
      <c r="V6" s="9"/>
    </row>
    <row r="7" spans="1:22" ht="39.6" customHeight="1">
      <c r="A7" s="2" t="s">
        <v>51</v>
      </c>
      <c r="B7" s="2" t="s">
        <v>43</v>
      </c>
      <c r="C7" s="3" t="s">
        <v>38</v>
      </c>
      <c r="D7" s="3" t="s">
        <v>25</v>
      </c>
      <c r="E7" s="2" t="s">
        <v>26</v>
      </c>
      <c r="F7" s="9" t="str">
        <f>'Question Bank &amp; Key'!D4</f>
        <v>A store offers a 20% discount on an item originally priced at $80. What is the final sale price? Show your work.</v>
      </c>
      <c r="G7" s="9" t="s">
        <v>52</v>
      </c>
      <c r="H7" s="10"/>
      <c r="I7" s="10"/>
      <c r="J7" s="10"/>
      <c r="K7" s="10"/>
      <c r="L7" s="10" t="str">
        <f t="shared" si="0"/>
        <v/>
      </c>
      <c r="M7" s="10" t="s">
        <v>53</v>
      </c>
      <c r="N7" s="10">
        <v>41.906999999999996</v>
      </c>
      <c r="O7" s="10">
        <v>33.497999999999998</v>
      </c>
      <c r="P7" s="10">
        <v>1024</v>
      </c>
      <c r="Q7" s="10">
        <f t="shared" si="1"/>
        <v>30.57</v>
      </c>
      <c r="R7" s="10">
        <v>5.35</v>
      </c>
      <c r="S7" s="10" t="s">
        <v>29</v>
      </c>
      <c r="T7" s="10" t="s">
        <v>30</v>
      </c>
      <c r="U7" s="9" t="s">
        <v>54</v>
      </c>
      <c r="V7" s="9" t="s">
        <v>55</v>
      </c>
    </row>
    <row r="8" spans="1:22" ht="39.6" customHeight="1">
      <c r="A8" s="2" t="s">
        <v>56</v>
      </c>
      <c r="B8" s="2" t="s">
        <v>57</v>
      </c>
      <c r="C8" s="3" t="s">
        <v>24</v>
      </c>
      <c r="D8" s="3" t="s">
        <v>25</v>
      </c>
      <c r="E8" s="2" t="s">
        <v>58</v>
      </c>
      <c r="F8" s="9" t="str">
        <f>'Question Bank &amp; Key'!D5</f>
        <v>Calculate the total number of trailing zeroes in 100! (100 factorial). Explain the mathematical reasoning behind your method.</v>
      </c>
      <c r="G8" s="9" t="s">
        <v>59</v>
      </c>
      <c r="H8" s="10"/>
      <c r="I8" s="10"/>
      <c r="J8" s="10"/>
      <c r="K8" s="10"/>
      <c r="L8" s="10" t="str">
        <f t="shared" si="0"/>
        <v/>
      </c>
      <c r="M8" s="10" t="s">
        <v>60</v>
      </c>
      <c r="N8" s="10">
        <v>30.957000000000001</v>
      </c>
      <c r="O8" s="10">
        <v>26.738</v>
      </c>
      <c r="P8" s="10">
        <v>1024</v>
      </c>
      <c r="Q8" s="10">
        <f t="shared" si="1"/>
        <v>38.299999999999997</v>
      </c>
      <c r="R8" s="10">
        <v>3.64</v>
      </c>
      <c r="S8" s="10" t="s">
        <v>29</v>
      </c>
      <c r="T8" s="10" t="s">
        <v>30</v>
      </c>
      <c r="U8" s="9" t="s">
        <v>61</v>
      </c>
      <c r="V8" s="9" t="s">
        <v>55</v>
      </c>
    </row>
    <row r="9" spans="1:22" ht="39.6" customHeight="1">
      <c r="A9" s="2" t="s">
        <v>62</v>
      </c>
      <c r="B9" s="2" t="s">
        <v>57</v>
      </c>
      <c r="C9" s="3" t="s">
        <v>33</v>
      </c>
      <c r="D9" s="3" t="s">
        <v>25</v>
      </c>
      <c r="E9" s="2" t="s">
        <v>58</v>
      </c>
      <c r="F9" s="9" t="str">
        <f>'Question Bank &amp; Key'!D5</f>
        <v>Calculate the total number of trailing zeroes in 100! (100 factorial). Explain the mathematical reasoning behind your method.</v>
      </c>
      <c r="G9" s="9" t="s">
        <v>63</v>
      </c>
      <c r="H9" s="10"/>
      <c r="I9" s="10"/>
      <c r="J9" s="10"/>
      <c r="K9" s="10"/>
      <c r="L9" s="10" t="str">
        <f t="shared" si="0"/>
        <v/>
      </c>
      <c r="M9" s="10" t="s">
        <v>64</v>
      </c>
      <c r="N9" s="10">
        <v>36.115000000000002</v>
      </c>
      <c r="O9" s="10">
        <v>31.943000000000001</v>
      </c>
      <c r="P9" s="10">
        <v>1024</v>
      </c>
      <c r="Q9" s="10">
        <f t="shared" si="1"/>
        <v>32.06</v>
      </c>
      <c r="R9" s="10">
        <v>4.53</v>
      </c>
      <c r="S9" s="10" t="s">
        <v>29</v>
      </c>
      <c r="T9" s="10" t="s">
        <v>30</v>
      </c>
      <c r="U9" s="9" t="s">
        <v>65</v>
      </c>
      <c r="V9" s="9" t="s">
        <v>55</v>
      </c>
    </row>
    <row r="10" spans="1:22" ht="39.6" customHeight="1">
      <c r="A10" s="2" t="s">
        <v>66</v>
      </c>
      <c r="B10" s="2" t="s">
        <v>57</v>
      </c>
      <c r="C10" s="3" t="s">
        <v>38</v>
      </c>
      <c r="D10" s="3" t="s">
        <v>25</v>
      </c>
      <c r="E10" s="2" t="s">
        <v>58</v>
      </c>
      <c r="F10" s="9" t="str">
        <f>'Question Bank &amp; Key'!D5</f>
        <v>Calculate the total number of trailing zeroes in 100! (100 factorial). Explain the mathematical reasoning behind your method.</v>
      </c>
      <c r="G10" s="9" t="s">
        <v>67</v>
      </c>
      <c r="H10" s="10"/>
      <c r="I10" s="10"/>
      <c r="J10" s="10"/>
      <c r="K10" s="10"/>
      <c r="L10" s="10" t="str">
        <f t="shared" si="0"/>
        <v/>
      </c>
      <c r="M10" s="10" t="s">
        <v>68</v>
      </c>
      <c r="N10" s="10">
        <v>41.31</v>
      </c>
      <c r="O10" s="10">
        <v>33.244999999999997</v>
      </c>
      <c r="P10" s="10">
        <v>1024</v>
      </c>
      <c r="Q10" s="10">
        <f t="shared" si="1"/>
        <v>30.8</v>
      </c>
      <c r="R10" s="10">
        <v>5.35</v>
      </c>
      <c r="S10" s="10" t="s">
        <v>29</v>
      </c>
      <c r="T10" s="10" t="s">
        <v>30</v>
      </c>
      <c r="U10" s="9" t="s">
        <v>69</v>
      </c>
      <c r="V10" s="9" t="s">
        <v>55</v>
      </c>
    </row>
    <row r="11" spans="1:22" ht="39.6" customHeight="1">
      <c r="A11" s="2" t="s">
        <v>70</v>
      </c>
      <c r="B11" s="2" t="s">
        <v>71</v>
      </c>
      <c r="C11" s="3" t="s">
        <v>24</v>
      </c>
      <c r="D11" s="3" t="s">
        <v>25</v>
      </c>
      <c r="E11" s="2" t="s">
        <v>58</v>
      </c>
      <c r="F11" s="9" t="str">
        <f>'Question Bank &amp; Key'!D6</f>
        <v>Find the next two numbers in the sequence: 2, 6, 12, 20, 30, ... Explain the underlying rule governing the pattern.</v>
      </c>
      <c r="G11" s="9" t="s">
        <v>72</v>
      </c>
      <c r="H11" s="10"/>
      <c r="I11" s="10"/>
      <c r="J11" s="10"/>
      <c r="K11" s="10"/>
      <c r="L11" s="10" t="str">
        <f t="shared" si="0"/>
        <v/>
      </c>
      <c r="M11" s="10" t="s">
        <v>73</v>
      </c>
      <c r="N11" s="10">
        <v>31.045000000000002</v>
      </c>
      <c r="O11" s="10">
        <v>26.792999999999999</v>
      </c>
      <c r="P11" s="10">
        <v>1024</v>
      </c>
      <c r="Q11" s="10">
        <f t="shared" si="1"/>
        <v>38.22</v>
      </c>
      <c r="R11" s="10">
        <v>3.64</v>
      </c>
      <c r="S11" s="10" t="s">
        <v>29</v>
      </c>
      <c r="T11" s="10" t="s">
        <v>30</v>
      </c>
      <c r="U11" s="9" t="s">
        <v>74</v>
      </c>
      <c r="V11" s="9" t="s">
        <v>55</v>
      </c>
    </row>
    <row r="12" spans="1:22" ht="39.6" customHeight="1">
      <c r="A12" s="2" t="s">
        <v>75</v>
      </c>
      <c r="B12" s="2" t="s">
        <v>71</v>
      </c>
      <c r="C12" s="3" t="s">
        <v>33</v>
      </c>
      <c r="D12" s="3" t="s">
        <v>25</v>
      </c>
      <c r="E12" s="2" t="s">
        <v>58</v>
      </c>
      <c r="F12" s="9" t="str">
        <f>'Question Bank &amp; Key'!D6</f>
        <v>Find the next two numbers in the sequence: 2, 6, 12, 20, 30, ... Explain the underlying rule governing the pattern.</v>
      </c>
      <c r="G12" s="9" t="s">
        <v>76</v>
      </c>
      <c r="H12" s="10"/>
      <c r="I12" s="10"/>
      <c r="J12" s="10"/>
      <c r="K12" s="10"/>
      <c r="L12" s="10" t="str">
        <f t="shared" si="0"/>
        <v/>
      </c>
      <c r="M12" s="10" t="s">
        <v>77</v>
      </c>
      <c r="N12" s="10">
        <v>23.050999999999998</v>
      </c>
      <c r="O12" s="10">
        <v>18.898</v>
      </c>
      <c r="P12" s="10">
        <v>571</v>
      </c>
      <c r="Q12" s="10">
        <f t="shared" si="1"/>
        <v>30.21</v>
      </c>
      <c r="R12" s="10">
        <v>4.53</v>
      </c>
      <c r="S12" s="10" t="s">
        <v>29</v>
      </c>
      <c r="T12" s="10" t="s">
        <v>30</v>
      </c>
      <c r="U12" s="9" t="s">
        <v>78</v>
      </c>
      <c r="V12" s="9"/>
    </row>
    <row r="13" spans="1:22" ht="39.6" customHeight="1">
      <c r="A13" s="2" t="s">
        <v>79</v>
      </c>
      <c r="B13" s="2" t="s">
        <v>71</v>
      </c>
      <c r="C13" s="3" t="s">
        <v>38</v>
      </c>
      <c r="D13" s="3" t="s">
        <v>25</v>
      </c>
      <c r="E13" s="2" t="s">
        <v>58</v>
      </c>
      <c r="F13" s="9" t="str">
        <f>'Question Bank &amp; Key'!D6</f>
        <v>Find the next two numbers in the sequence: 2, 6, 12, 20, 30, ... Explain the underlying rule governing the pattern.</v>
      </c>
      <c r="G13" s="9" t="s">
        <v>80</v>
      </c>
      <c r="H13" s="10"/>
      <c r="I13" s="10"/>
      <c r="J13" s="10"/>
      <c r="K13" s="10"/>
      <c r="L13" s="10" t="str">
        <f t="shared" si="0"/>
        <v/>
      </c>
      <c r="M13" s="10" t="s">
        <v>81</v>
      </c>
      <c r="N13" s="10">
        <v>37.543999999999997</v>
      </c>
      <c r="O13" s="10">
        <v>33.052999999999997</v>
      </c>
      <c r="P13" s="10">
        <v>1024</v>
      </c>
      <c r="Q13" s="10">
        <f t="shared" si="1"/>
        <v>30.98</v>
      </c>
      <c r="R13" s="10">
        <v>5.35</v>
      </c>
      <c r="S13" s="10" t="s">
        <v>29</v>
      </c>
      <c r="T13" s="10" t="s">
        <v>30</v>
      </c>
      <c r="U13" s="9" t="s">
        <v>82</v>
      </c>
      <c r="V13" s="9" t="s">
        <v>55</v>
      </c>
    </row>
    <row r="14" spans="1:22" ht="39.6" customHeight="1">
      <c r="A14" s="2" t="s">
        <v>83</v>
      </c>
      <c r="B14" s="2" t="s">
        <v>84</v>
      </c>
      <c r="C14" s="3" t="s">
        <v>24</v>
      </c>
      <c r="D14" s="3" t="s">
        <v>25</v>
      </c>
      <c r="E14" s="2" t="s">
        <v>85</v>
      </c>
      <c r="F14" s="9" t="str">
        <f>'Question Bank &amp; Key'!D7</f>
        <v>Three fair standard six-sided dice are rolled simultaneously. What is the exact probability that the sum of the numbers rolled is equal to 10? Express your answer as a simplified fraction and explain each step.</v>
      </c>
      <c r="G14" s="9" t="s">
        <v>86</v>
      </c>
      <c r="H14" s="10"/>
      <c r="I14" s="10"/>
      <c r="J14" s="10"/>
      <c r="K14" s="10"/>
      <c r="L14" s="10" t="str">
        <f t="shared" si="0"/>
        <v/>
      </c>
      <c r="M14" s="10" t="s">
        <v>87</v>
      </c>
      <c r="N14" s="10">
        <v>30.626999999999999</v>
      </c>
      <c r="O14" s="10">
        <v>26.364000000000001</v>
      </c>
      <c r="P14" s="10">
        <v>1024</v>
      </c>
      <c r="Q14" s="10">
        <f t="shared" si="1"/>
        <v>38.840000000000003</v>
      </c>
      <c r="R14" s="10">
        <v>3.64</v>
      </c>
      <c r="S14" s="10" t="s">
        <v>29</v>
      </c>
      <c r="T14" s="10" t="s">
        <v>30</v>
      </c>
      <c r="U14" s="9" t="s">
        <v>88</v>
      </c>
      <c r="V14" s="9" t="s">
        <v>55</v>
      </c>
    </row>
    <row r="15" spans="1:22" ht="39.6" customHeight="1">
      <c r="A15" s="2" t="s">
        <v>89</v>
      </c>
      <c r="B15" s="2" t="s">
        <v>84</v>
      </c>
      <c r="C15" s="3" t="s">
        <v>33</v>
      </c>
      <c r="D15" s="3" t="s">
        <v>25</v>
      </c>
      <c r="E15" s="2" t="s">
        <v>85</v>
      </c>
      <c r="F15" s="9" t="str">
        <f>'Question Bank &amp; Key'!D7</f>
        <v>Three fair standard six-sided dice are rolled simultaneously. What is the exact probability that the sum of the numbers rolled is equal to 10? Express your answer as a simplified fraction and explain each step.</v>
      </c>
      <c r="G15" s="9" t="s">
        <v>90</v>
      </c>
      <c r="H15" s="10"/>
      <c r="I15" s="10"/>
      <c r="J15" s="10"/>
      <c r="K15" s="10"/>
      <c r="L15" s="10" t="str">
        <f t="shared" si="0"/>
        <v/>
      </c>
      <c r="M15" s="10" t="s">
        <v>91</v>
      </c>
      <c r="N15" s="10">
        <v>35.292000000000002</v>
      </c>
      <c r="O15" s="10">
        <v>31.119</v>
      </c>
      <c r="P15" s="10">
        <v>1024</v>
      </c>
      <c r="Q15" s="10">
        <f t="shared" si="1"/>
        <v>32.909999999999997</v>
      </c>
      <c r="R15" s="10">
        <v>4.53</v>
      </c>
      <c r="S15" s="10" t="s">
        <v>29</v>
      </c>
      <c r="T15" s="10" t="s">
        <v>30</v>
      </c>
      <c r="U15" s="9" t="s">
        <v>92</v>
      </c>
      <c r="V15" s="9" t="s">
        <v>55</v>
      </c>
    </row>
    <row r="16" spans="1:22" ht="39.6" customHeight="1">
      <c r="A16" s="2" t="s">
        <v>93</v>
      </c>
      <c r="B16" s="2" t="s">
        <v>84</v>
      </c>
      <c r="C16" s="3" t="s">
        <v>38</v>
      </c>
      <c r="D16" s="3" t="s">
        <v>25</v>
      </c>
      <c r="E16" s="2" t="s">
        <v>85</v>
      </c>
      <c r="F16" s="9" t="str">
        <f>'Question Bank &amp; Key'!D7</f>
        <v>Three fair standard six-sided dice are rolled simultaneously. What is the exact probability that the sum of the numbers rolled is equal to 10? Express your answer as a simplified fraction and explain each step.</v>
      </c>
      <c r="G16" s="9" t="s">
        <v>94</v>
      </c>
      <c r="H16" s="10"/>
      <c r="I16" s="10"/>
      <c r="J16" s="10"/>
      <c r="K16" s="10"/>
      <c r="L16" s="10" t="str">
        <f t="shared" si="0"/>
        <v/>
      </c>
      <c r="M16" s="10" t="s">
        <v>95</v>
      </c>
      <c r="N16" s="10">
        <v>37.811</v>
      </c>
      <c r="O16" s="10">
        <v>33.268999999999998</v>
      </c>
      <c r="P16" s="10">
        <v>1024</v>
      </c>
      <c r="Q16" s="10">
        <f t="shared" si="1"/>
        <v>30.78</v>
      </c>
      <c r="R16" s="10">
        <v>5.35</v>
      </c>
      <c r="S16" s="10" t="s">
        <v>29</v>
      </c>
      <c r="T16" s="10" t="s">
        <v>30</v>
      </c>
      <c r="U16" s="9" t="s">
        <v>96</v>
      </c>
      <c r="V16" s="9" t="s">
        <v>55</v>
      </c>
    </row>
    <row r="17" spans="1:22" ht="39.6" customHeight="1">
      <c r="A17" s="2" t="s">
        <v>97</v>
      </c>
      <c r="B17" s="2" t="s">
        <v>98</v>
      </c>
      <c r="C17" s="3" t="s">
        <v>24</v>
      </c>
      <c r="D17" s="3" t="s">
        <v>99</v>
      </c>
      <c r="E17" s="2" t="s">
        <v>26</v>
      </c>
      <c r="F17" s="9" t="str">
        <f>'Question Bank &amp; Key'!D8</f>
        <v>A farmer has 17 sheep, and all but 9 die. How many live sheep does the farmer have left? State your answer and briefly explain the logic.</v>
      </c>
      <c r="G17" s="9" t="s">
        <v>100</v>
      </c>
      <c r="H17" s="10"/>
      <c r="I17" s="10"/>
      <c r="J17" s="10"/>
      <c r="K17" s="10"/>
      <c r="L17" s="10" t="str">
        <f t="shared" si="0"/>
        <v/>
      </c>
      <c r="M17" s="10" t="s">
        <v>101</v>
      </c>
      <c r="N17" s="10">
        <v>23.832999999999998</v>
      </c>
      <c r="O17" s="10">
        <v>16.919</v>
      </c>
      <c r="P17" s="10">
        <v>662</v>
      </c>
      <c r="Q17" s="10">
        <f t="shared" si="1"/>
        <v>39.130000000000003</v>
      </c>
      <c r="R17" s="10">
        <v>3.64</v>
      </c>
      <c r="S17" s="10" t="s">
        <v>29</v>
      </c>
      <c r="T17" s="10" t="s">
        <v>30</v>
      </c>
      <c r="U17" s="9" t="s">
        <v>102</v>
      </c>
      <c r="V17" s="9"/>
    </row>
    <row r="18" spans="1:22" ht="39.6" customHeight="1">
      <c r="A18" s="2" t="s">
        <v>103</v>
      </c>
      <c r="B18" s="2" t="s">
        <v>98</v>
      </c>
      <c r="C18" s="3" t="s">
        <v>33</v>
      </c>
      <c r="D18" s="3" t="s">
        <v>99</v>
      </c>
      <c r="E18" s="2" t="s">
        <v>26</v>
      </c>
      <c r="F18" s="9" t="str">
        <f>'Question Bank &amp; Key'!D8</f>
        <v>A farmer has 17 sheep, and all but 9 die. How many live sheep does the farmer have left? State your answer and briefly explain the logic.</v>
      </c>
      <c r="G18" s="9" t="s">
        <v>104</v>
      </c>
      <c r="H18" s="10"/>
      <c r="I18" s="10"/>
      <c r="J18" s="10"/>
      <c r="K18" s="10"/>
      <c r="L18" s="10" t="str">
        <f t="shared" si="0"/>
        <v/>
      </c>
      <c r="M18" s="10" t="s">
        <v>105</v>
      </c>
      <c r="N18" s="10">
        <v>13.25</v>
      </c>
      <c r="O18" s="10">
        <v>9.0380000000000003</v>
      </c>
      <c r="P18" s="10">
        <v>217</v>
      </c>
      <c r="Q18" s="10">
        <f t="shared" si="1"/>
        <v>24.01</v>
      </c>
      <c r="R18" s="10">
        <v>4.53</v>
      </c>
      <c r="S18" s="10" t="s">
        <v>29</v>
      </c>
      <c r="T18" s="10" t="s">
        <v>30</v>
      </c>
      <c r="U18" s="9" t="s">
        <v>106</v>
      </c>
      <c r="V18" s="9"/>
    </row>
    <row r="19" spans="1:22" ht="39.6" customHeight="1">
      <c r="A19" s="2" t="s">
        <v>107</v>
      </c>
      <c r="B19" s="2" t="s">
        <v>98</v>
      </c>
      <c r="C19" s="3" t="s">
        <v>38</v>
      </c>
      <c r="D19" s="3" t="s">
        <v>99</v>
      </c>
      <c r="E19" s="2" t="s">
        <v>26</v>
      </c>
      <c r="F19" s="9" t="str">
        <f>'Question Bank &amp; Key'!D8</f>
        <v>A farmer has 17 sheep, and all but 9 die. How many live sheep does the farmer have left? State your answer and briefly explain the logic.</v>
      </c>
      <c r="G19" s="9" t="s">
        <v>108</v>
      </c>
      <c r="H19" s="10"/>
      <c r="I19" s="10"/>
      <c r="J19" s="10"/>
      <c r="K19" s="10"/>
      <c r="L19" s="10" t="str">
        <f t="shared" si="0"/>
        <v/>
      </c>
      <c r="M19" s="10" t="s">
        <v>109</v>
      </c>
      <c r="N19" s="10">
        <v>40.401000000000003</v>
      </c>
      <c r="O19" s="10">
        <v>31.734000000000002</v>
      </c>
      <c r="P19" s="10">
        <v>995</v>
      </c>
      <c r="Q19" s="10">
        <f t="shared" si="1"/>
        <v>31.35</v>
      </c>
      <c r="R19" s="10">
        <v>5.35</v>
      </c>
      <c r="S19" s="10" t="s">
        <v>29</v>
      </c>
      <c r="T19" s="10" t="s">
        <v>30</v>
      </c>
      <c r="U19" s="9" t="s">
        <v>110</v>
      </c>
      <c r="V19" s="9"/>
    </row>
    <row r="20" spans="1:22" ht="39.6" customHeight="1">
      <c r="A20" s="2" t="s">
        <v>111</v>
      </c>
      <c r="B20" s="2" t="s">
        <v>112</v>
      </c>
      <c r="C20" s="3" t="s">
        <v>24</v>
      </c>
      <c r="D20" s="3" t="s">
        <v>99</v>
      </c>
      <c r="E20" s="2" t="s">
        <v>26</v>
      </c>
      <c r="F20" s="9" t="str">
        <f>'Question Bank &amp; Key'!D9</f>
        <v>All roses are flowers. Some flowers fade quickly. Does it strictly follow that some roses fade quickly? Answer with 'Yes' or 'No' and provide a formal logical justification.</v>
      </c>
      <c r="G20" s="9" t="s">
        <v>113</v>
      </c>
      <c r="H20" s="10"/>
      <c r="I20" s="10"/>
      <c r="J20" s="10"/>
      <c r="K20" s="10"/>
      <c r="L20" s="10" t="str">
        <f t="shared" si="0"/>
        <v/>
      </c>
      <c r="M20" s="10" t="s">
        <v>114</v>
      </c>
      <c r="N20" s="10">
        <v>33.518000000000001</v>
      </c>
      <c r="O20" s="10">
        <v>26.882000000000001</v>
      </c>
      <c r="P20" s="10">
        <v>1024</v>
      </c>
      <c r="Q20" s="10">
        <f t="shared" si="1"/>
        <v>38.090000000000003</v>
      </c>
      <c r="R20" s="10">
        <v>3.64</v>
      </c>
      <c r="S20" s="10" t="s">
        <v>29</v>
      </c>
      <c r="T20" s="10" t="s">
        <v>30</v>
      </c>
      <c r="U20" s="9" t="s">
        <v>115</v>
      </c>
      <c r="V20" s="9" t="s">
        <v>55</v>
      </c>
    </row>
    <row r="21" spans="1:22" ht="39.6" customHeight="1">
      <c r="A21" s="2" t="s">
        <v>116</v>
      </c>
      <c r="B21" s="2" t="s">
        <v>112</v>
      </c>
      <c r="C21" s="3" t="s">
        <v>33</v>
      </c>
      <c r="D21" s="3" t="s">
        <v>99</v>
      </c>
      <c r="E21" s="2" t="s">
        <v>26</v>
      </c>
      <c r="F21" s="9" t="str">
        <f>'Question Bank &amp; Key'!D9</f>
        <v>All roses are flowers. Some flowers fade quickly. Does it strictly follow that some roses fade quickly? Answer with 'Yes' or 'No' and provide a formal logical justification.</v>
      </c>
      <c r="G21" s="9" t="s">
        <v>117</v>
      </c>
      <c r="H21" s="10"/>
      <c r="I21" s="10"/>
      <c r="J21" s="10"/>
      <c r="K21" s="10"/>
      <c r="L21" s="10" t="str">
        <f t="shared" si="0"/>
        <v/>
      </c>
      <c r="M21" s="10" t="s">
        <v>118</v>
      </c>
      <c r="N21" s="10">
        <v>31.620999999999999</v>
      </c>
      <c r="O21" s="10">
        <v>24.053000000000001</v>
      </c>
      <c r="P21" s="10">
        <v>742</v>
      </c>
      <c r="Q21" s="10">
        <f t="shared" si="1"/>
        <v>30.85</v>
      </c>
      <c r="R21" s="10">
        <v>4.53</v>
      </c>
      <c r="S21" s="10" t="s">
        <v>29</v>
      </c>
      <c r="T21" s="10" t="s">
        <v>30</v>
      </c>
      <c r="U21" s="9" t="s">
        <v>119</v>
      </c>
      <c r="V21" s="9"/>
    </row>
    <row r="22" spans="1:22" ht="39.6" customHeight="1">
      <c r="A22" s="2" t="s">
        <v>120</v>
      </c>
      <c r="B22" s="2" t="s">
        <v>112</v>
      </c>
      <c r="C22" s="3" t="s">
        <v>38</v>
      </c>
      <c r="D22" s="3" t="s">
        <v>99</v>
      </c>
      <c r="E22" s="2" t="s">
        <v>26</v>
      </c>
      <c r="F22" s="9" t="str">
        <f>'Question Bank &amp; Key'!D9</f>
        <v>All roses are flowers. Some flowers fade quickly. Does it strictly follow that some roses fade quickly? Answer with 'Yes' or 'No' and provide a formal logical justification.</v>
      </c>
      <c r="G22" s="16" t="s">
        <v>121</v>
      </c>
      <c r="H22" s="10"/>
      <c r="I22" s="10"/>
      <c r="J22" s="10"/>
      <c r="K22" s="10"/>
      <c r="L22" s="10" t="str">
        <f t="shared" si="0"/>
        <v/>
      </c>
      <c r="M22" s="10" t="s">
        <v>122</v>
      </c>
      <c r="N22" s="10">
        <v>28.545000000000002</v>
      </c>
      <c r="O22" s="10">
        <v>23.701000000000001</v>
      </c>
      <c r="P22" s="10">
        <v>716</v>
      </c>
      <c r="Q22" s="10">
        <f t="shared" si="1"/>
        <v>30.21</v>
      </c>
      <c r="R22" s="10">
        <v>5.35</v>
      </c>
      <c r="S22" s="10" t="s">
        <v>29</v>
      </c>
      <c r="T22" s="10" t="s">
        <v>30</v>
      </c>
      <c r="U22" s="9" t="s">
        <v>123</v>
      </c>
      <c r="V22" s="9"/>
    </row>
    <row r="23" spans="1:22" ht="39.6" customHeight="1">
      <c r="A23" s="2" t="s">
        <v>124</v>
      </c>
      <c r="B23" s="2" t="s">
        <v>125</v>
      </c>
      <c r="C23" s="3" t="s">
        <v>24</v>
      </c>
      <c r="D23" s="3" t="s">
        <v>99</v>
      </c>
      <c r="E23" s="2" t="s">
        <v>58</v>
      </c>
      <c r="F23" s="9" t="str">
        <f>'Question Bank &amp; Key'!D10</f>
        <v>Alice, Bob, and Charlie are sitting in a row. Alice is not on the far right. Bob is sitting to the immediate right of Alice. Who is sitting on the far left? Deduce the exact left-to-right seating arrangement step by step.</v>
      </c>
      <c r="G23" s="9" t="s">
        <v>126</v>
      </c>
      <c r="H23" s="10"/>
      <c r="I23" s="10"/>
      <c r="J23" s="10"/>
      <c r="K23" s="10"/>
      <c r="L23" s="10" t="str">
        <f t="shared" si="0"/>
        <v/>
      </c>
      <c r="M23" s="10" t="s">
        <v>127</v>
      </c>
      <c r="N23" s="10">
        <v>31.611000000000001</v>
      </c>
      <c r="O23" s="10">
        <v>27.300999999999998</v>
      </c>
      <c r="P23" s="10">
        <v>1024</v>
      </c>
      <c r="Q23" s="10">
        <f t="shared" si="1"/>
        <v>37.51</v>
      </c>
      <c r="R23" s="10">
        <v>3.64</v>
      </c>
      <c r="S23" s="10" t="s">
        <v>29</v>
      </c>
      <c r="T23" s="10" t="s">
        <v>30</v>
      </c>
      <c r="U23" s="9" t="s">
        <v>128</v>
      </c>
      <c r="V23" s="9" t="s">
        <v>55</v>
      </c>
    </row>
    <row r="24" spans="1:22" ht="39.6" customHeight="1">
      <c r="A24" s="2" t="s">
        <v>129</v>
      </c>
      <c r="B24" s="2" t="s">
        <v>125</v>
      </c>
      <c r="C24" s="3" t="s">
        <v>33</v>
      </c>
      <c r="D24" s="3" t="s">
        <v>99</v>
      </c>
      <c r="E24" s="2" t="s">
        <v>58</v>
      </c>
      <c r="F24" s="9" t="str">
        <f>'Question Bank &amp; Key'!D10</f>
        <v>Alice, Bob, and Charlie are sitting in a row. Alice is not on the far right. Bob is sitting to the immediate right of Alice. Who is sitting on the far left? Deduce the exact left-to-right seating arrangement step by step.</v>
      </c>
      <c r="G24" s="9" t="s">
        <v>130</v>
      </c>
      <c r="H24" s="10"/>
      <c r="I24" s="10"/>
      <c r="J24" s="10"/>
      <c r="K24" s="10"/>
      <c r="L24" s="10" t="str">
        <f t="shared" si="0"/>
        <v/>
      </c>
      <c r="M24" s="10" t="s">
        <v>131</v>
      </c>
      <c r="N24" s="10">
        <v>22.279</v>
      </c>
      <c r="O24" s="10">
        <v>14.8</v>
      </c>
      <c r="P24" s="10">
        <v>412</v>
      </c>
      <c r="Q24" s="10">
        <f t="shared" si="1"/>
        <v>27.84</v>
      </c>
      <c r="R24" s="10">
        <v>4.53</v>
      </c>
      <c r="S24" s="10" t="s">
        <v>29</v>
      </c>
      <c r="T24" s="10" t="s">
        <v>30</v>
      </c>
      <c r="U24" s="9" t="s">
        <v>132</v>
      </c>
      <c r="V24" s="9"/>
    </row>
    <row r="25" spans="1:22" ht="39.6" customHeight="1">
      <c r="A25" s="2" t="s">
        <v>133</v>
      </c>
      <c r="B25" s="2" t="s">
        <v>125</v>
      </c>
      <c r="C25" s="3" t="s">
        <v>38</v>
      </c>
      <c r="D25" s="3" t="s">
        <v>99</v>
      </c>
      <c r="E25" s="2" t="s">
        <v>58</v>
      </c>
      <c r="F25" s="9" t="str">
        <f>'Question Bank &amp; Key'!D10</f>
        <v>Alice, Bob, and Charlie are sitting in a row. Alice is not on the far right. Bob is sitting to the immediate right of Alice. Who is sitting on the far left? Deduce the exact left-to-right seating arrangement step by step.</v>
      </c>
      <c r="G25" s="9" t="s">
        <v>134</v>
      </c>
      <c r="H25" s="10"/>
      <c r="I25" s="10"/>
      <c r="J25" s="10"/>
      <c r="K25" s="10"/>
      <c r="L25" s="10" t="str">
        <f t="shared" si="0"/>
        <v/>
      </c>
      <c r="M25" s="10" t="s">
        <v>135</v>
      </c>
      <c r="N25" s="10">
        <v>36.968000000000004</v>
      </c>
      <c r="O25" s="10">
        <v>32.411999999999999</v>
      </c>
      <c r="P25" s="10">
        <v>1024</v>
      </c>
      <c r="Q25" s="10">
        <f t="shared" si="1"/>
        <v>31.59</v>
      </c>
      <c r="R25" s="10">
        <v>5.35</v>
      </c>
      <c r="S25" s="10" t="s">
        <v>29</v>
      </c>
      <c r="T25" s="10" t="s">
        <v>30</v>
      </c>
      <c r="U25" s="9" t="s">
        <v>136</v>
      </c>
      <c r="V25" s="9" t="s">
        <v>55</v>
      </c>
    </row>
    <row r="26" spans="1:22" ht="39.6" customHeight="1">
      <c r="A26" s="2" t="s">
        <v>137</v>
      </c>
      <c r="B26" s="2" t="s">
        <v>138</v>
      </c>
      <c r="C26" s="3" t="s">
        <v>24</v>
      </c>
      <c r="D26" s="3" t="s">
        <v>99</v>
      </c>
      <c r="E26" s="2" t="s">
        <v>58</v>
      </c>
      <c r="F26" s="9" t="str">
        <f>'Question Bank &amp; Key'!D11</f>
        <v>You have a 3-liter jug and a 5-liter jug, and an unlimited supply of water. How can you measure out exactly 4 liters using only these two jugs without any measuring scales? Detail every pour step.</v>
      </c>
      <c r="G26" s="9" t="s">
        <v>139</v>
      </c>
      <c r="H26" s="10"/>
      <c r="I26" s="10"/>
      <c r="J26" s="10"/>
      <c r="K26" s="10"/>
      <c r="L26" s="10" t="str">
        <f t="shared" si="0"/>
        <v/>
      </c>
      <c r="M26" s="10" t="s">
        <v>140</v>
      </c>
      <c r="N26" s="10">
        <v>30.733000000000001</v>
      </c>
      <c r="O26" s="10">
        <v>26.405000000000001</v>
      </c>
      <c r="P26" s="10">
        <v>1024</v>
      </c>
      <c r="Q26" s="10">
        <f t="shared" si="1"/>
        <v>38.78</v>
      </c>
      <c r="R26" s="10">
        <v>3.64</v>
      </c>
      <c r="S26" s="10" t="s">
        <v>29</v>
      </c>
      <c r="T26" s="10" t="s">
        <v>30</v>
      </c>
      <c r="U26" s="9" t="s">
        <v>141</v>
      </c>
      <c r="V26" s="9" t="s">
        <v>55</v>
      </c>
    </row>
    <row r="27" spans="1:22" ht="39.6" customHeight="1">
      <c r="A27" s="2" t="s">
        <v>142</v>
      </c>
      <c r="B27" s="2" t="s">
        <v>138</v>
      </c>
      <c r="C27" s="3" t="s">
        <v>33</v>
      </c>
      <c r="D27" s="3" t="s">
        <v>99</v>
      </c>
      <c r="E27" s="2" t="s">
        <v>58</v>
      </c>
      <c r="F27" s="9" t="str">
        <f>'Question Bank &amp; Key'!D11</f>
        <v>You have a 3-liter jug and a 5-liter jug, and an unlimited supply of water. How can you measure out exactly 4 liters using only these two jugs without any measuring scales? Detail every pour step.</v>
      </c>
      <c r="G27" s="9" t="s">
        <v>143</v>
      </c>
      <c r="H27" s="10"/>
      <c r="I27" s="10"/>
      <c r="J27" s="10"/>
      <c r="K27" s="10"/>
      <c r="L27" s="10" t="str">
        <f t="shared" si="0"/>
        <v/>
      </c>
      <c r="M27" s="10" t="s">
        <v>144</v>
      </c>
      <c r="N27" s="10">
        <v>25.206</v>
      </c>
      <c r="O27" s="10">
        <v>21.076000000000001</v>
      </c>
      <c r="P27" s="10">
        <v>652</v>
      </c>
      <c r="Q27" s="10">
        <f t="shared" si="1"/>
        <v>30.94</v>
      </c>
      <c r="R27" s="10">
        <v>4.53</v>
      </c>
      <c r="S27" s="10" t="s">
        <v>29</v>
      </c>
      <c r="T27" s="10" t="s">
        <v>30</v>
      </c>
      <c r="U27" s="9" t="s">
        <v>145</v>
      </c>
      <c r="V27" s="9"/>
    </row>
    <row r="28" spans="1:22" ht="39.6" customHeight="1">
      <c r="A28" s="2" t="s">
        <v>146</v>
      </c>
      <c r="B28" s="2" t="s">
        <v>138</v>
      </c>
      <c r="C28" s="3" t="s">
        <v>38</v>
      </c>
      <c r="D28" s="3" t="s">
        <v>99</v>
      </c>
      <c r="E28" s="2" t="s">
        <v>58</v>
      </c>
      <c r="F28" s="9" t="str">
        <f>'Question Bank &amp; Key'!D11</f>
        <v>You have a 3-liter jug and a 5-liter jug, and an unlimited supply of water. How can you measure out exactly 4 liters using only these two jugs without any measuring scales? Detail every pour step.</v>
      </c>
      <c r="G28" s="9" t="s">
        <v>147</v>
      </c>
      <c r="H28" s="10"/>
      <c r="I28" s="10"/>
      <c r="J28" s="10"/>
      <c r="K28" s="10"/>
      <c r="L28" s="10" t="str">
        <f t="shared" si="0"/>
        <v/>
      </c>
      <c r="M28" s="10" t="s">
        <v>148</v>
      </c>
      <c r="N28" s="10">
        <v>41.716999999999999</v>
      </c>
      <c r="O28" s="10">
        <v>33.280999999999999</v>
      </c>
      <c r="P28" s="10">
        <v>1024</v>
      </c>
      <c r="Q28" s="10">
        <f t="shared" si="1"/>
        <v>30.77</v>
      </c>
      <c r="R28" s="10">
        <v>5.35</v>
      </c>
      <c r="S28" s="10" t="s">
        <v>29</v>
      </c>
      <c r="T28" s="10" t="s">
        <v>30</v>
      </c>
      <c r="U28" s="9" t="s">
        <v>149</v>
      </c>
      <c r="V28" s="9" t="s">
        <v>55</v>
      </c>
    </row>
    <row r="29" spans="1:22" ht="39.6" customHeight="1">
      <c r="A29" s="2" t="s">
        <v>150</v>
      </c>
      <c r="B29" s="2" t="s">
        <v>151</v>
      </c>
      <c r="C29" s="3" t="s">
        <v>24</v>
      </c>
      <c r="D29" s="3" t="s">
        <v>99</v>
      </c>
      <c r="E29" s="2" t="s">
        <v>85</v>
      </c>
      <c r="F29" s="9" t="str">
        <f>'Question Bank &amp; Key'!D12</f>
        <v>On an island, inhabitants are either Knights (who always tell the truth) or Knaves (who always lie). You meet two inhabitants, A and B. A says: 'At least one of us is a Knave.' Determine precisely what A is and what B is. Provide a rigorous proof by cases.</v>
      </c>
      <c r="G29" s="9" t="s">
        <v>152</v>
      </c>
      <c r="H29" s="10"/>
      <c r="I29" s="10"/>
      <c r="J29" s="10"/>
      <c r="K29" s="10"/>
      <c r="L29" s="10" t="str">
        <f t="shared" si="0"/>
        <v/>
      </c>
      <c r="M29" s="10" t="s">
        <v>153</v>
      </c>
      <c r="N29" s="10">
        <v>32.633000000000003</v>
      </c>
      <c r="O29" s="10">
        <v>25.693999999999999</v>
      </c>
      <c r="P29" s="10">
        <v>1024</v>
      </c>
      <c r="Q29" s="10">
        <f t="shared" si="1"/>
        <v>39.85</v>
      </c>
      <c r="R29" s="10">
        <v>3.64</v>
      </c>
      <c r="S29" s="10" t="s">
        <v>29</v>
      </c>
      <c r="T29" s="10" t="s">
        <v>30</v>
      </c>
      <c r="U29" s="9" t="s">
        <v>154</v>
      </c>
      <c r="V29" s="9" t="s">
        <v>55</v>
      </c>
    </row>
    <row r="30" spans="1:22" ht="39.6" customHeight="1">
      <c r="A30" s="2" t="s">
        <v>155</v>
      </c>
      <c r="B30" s="2" t="s">
        <v>151</v>
      </c>
      <c r="C30" s="3" t="s">
        <v>33</v>
      </c>
      <c r="D30" s="3" t="s">
        <v>99</v>
      </c>
      <c r="E30" s="2" t="s">
        <v>85</v>
      </c>
      <c r="F30" s="9" t="str">
        <f>'Question Bank &amp; Key'!D12</f>
        <v>On an island, inhabitants are either Knights (who always tell the truth) or Knaves (who always lie). You meet two inhabitants, A and B. A says: 'At least one of us is a Knave.' Determine precisely what A is and what B is. Provide a rigorous proof by cases.</v>
      </c>
      <c r="G30" s="9" t="s">
        <v>156</v>
      </c>
      <c r="H30" s="10"/>
      <c r="I30" s="10"/>
      <c r="J30" s="10"/>
      <c r="K30" s="10"/>
      <c r="L30" s="10" t="str">
        <f t="shared" si="0"/>
        <v/>
      </c>
      <c r="M30" s="10" t="s">
        <v>157</v>
      </c>
      <c r="N30" s="10">
        <v>35.985999999999997</v>
      </c>
      <c r="O30" s="10">
        <v>31.789000000000001</v>
      </c>
      <c r="P30" s="10">
        <v>1024</v>
      </c>
      <c r="Q30" s="10">
        <f t="shared" si="1"/>
        <v>32.21</v>
      </c>
      <c r="R30" s="10">
        <v>4.54</v>
      </c>
      <c r="S30" s="10" t="s">
        <v>29</v>
      </c>
      <c r="T30" s="10" t="s">
        <v>30</v>
      </c>
      <c r="U30" s="9" t="s">
        <v>158</v>
      </c>
      <c r="V30" s="9" t="s">
        <v>55</v>
      </c>
    </row>
    <row r="31" spans="1:22" ht="39.6" customHeight="1">
      <c r="A31" s="2" t="s">
        <v>159</v>
      </c>
      <c r="B31" s="2" t="s">
        <v>151</v>
      </c>
      <c r="C31" s="3" t="s">
        <v>38</v>
      </c>
      <c r="D31" s="3" t="s">
        <v>99</v>
      </c>
      <c r="E31" s="2" t="s">
        <v>85</v>
      </c>
      <c r="F31" s="9" t="str">
        <f>'Question Bank &amp; Key'!D12</f>
        <v>On an island, inhabitants are either Knights (who always tell the truth) or Knaves (who always lie). You meet two inhabitants, A and B. A says: 'At least one of us is a Knave.' Determine precisely what A is and what B is. Provide a rigorous proof by cases.</v>
      </c>
      <c r="G31" s="9" t="s">
        <v>160</v>
      </c>
      <c r="H31" s="10"/>
      <c r="I31" s="10"/>
      <c r="J31" s="10"/>
      <c r="K31" s="10"/>
      <c r="L31" s="10" t="str">
        <f t="shared" si="0"/>
        <v/>
      </c>
      <c r="M31" s="10" t="s">
        <v>161</v>
      </c>
      <c r="N31" s="10">
        <v>41.253999999999998</v>
      </c>
      <c r="O31" s="10">
        <v>33.155999999999999</v>
      </c>
      <c r="P31" s="10">
        <v>1024</v>
      </c>
      <c r="Q31" s="10">
        <f t="shared" si="1"/>
        <v>30.88</v>
      </c>
      <c r="R31" s="10">
        <v>5.35</v>
      </c>
      <c r="S31" s="10" t="s">
        <v>29</v>
      </c>
      <c r="T31" s="10" t="s">
        <v>30</v>
      </c>
      <c r="U31" s="9" t="s">
        <v>162</v>
      </c>
      <c r="V31" s="9" t="s">
        <v>55</v>
      </c>
    </row>
    <row r="32" spans="1:22" ht="39.6" customHeight="1">
      <c r="A32" s="2" t="s">
        <v>163</v>
      </c>
      <c r="B32" s="2" t="s">
        <v>164</v>
      </c>
      <c r="C32" s="3" t="s">
        <v>24</v>
      </c>
      <c r="D32" s="3" t="s">
        <v>165</v>
      </c>
      <c r="E32" s="2" t="s">
        <v>26</v>
      </c>
      <c r="F32" s="9" t="str">
        <f>'Question Bank &amp; Key'!D13</f>
        <v>Write a clean Python function `is_palindrome(s: str) -&gt; bool` that checks if a string is a palindrome, ignoring non-alphanumeric characters and case. Provide a brief trace of why it works.</v>
      </c>
      <c r="G32" s="3"/>
      <c r="H32" s="2"/>
      <c r="I32" s="2"/>
      <c r="J32" s="2"/>
      <c r="K32" s="2"/>
      <c r="L32" s="2" t="str">
        <f t="shared" si="0"/>
        <v/>
      </c>
      <c r="M32" s="2"/>
      <c r="N32" s="2"/>
      <c r="O32" s="2"/>
      <c r="P32" s="2"/>
      <c r="Q32" s="2" t="str">
        <f t="shared" si="1"/>
        <v/>
      </c>
      <c r="R32" s="2"/>
      <c r="S32" s="2" t="s">
        <v>29</v>
      </c>
      <c r="T32" s="2" t="s">
        <v>30</v>
      </c>
      <c r="U32" s="3" t="s">
        <v>166</v>
      </c>
      <c r="V32" s="3"/>
    </row>
    <row r="33" spans="1:22" ht="39.6" customHeight="1">
      <c r="A33" s="2" t="s">
        <v>167</v>
      </c>
      <c r="B33" s="2" t="s">
        <v>164</v>
      </c>
      <c r="C33" s="3" t="s">
        <v>33</v>
      </c>
      <c r="D33" s="3" t="s">
        <v>165</v>
      </c>
      <c r="E33" s="2" t="s">
        <v>26</v>
      </c>
      <c r="F33" s="9" t="str">
        <f>'Question Bank &amp; Key'!D13</f>
        <v>Write a clean Python function `is_palindrome(s: str) -&gt; bool` that checks if a string is a palindrome, ignoring non-alphanumeric characters and case. Provide a brief trace of why it works.</v>
      </c>
      <c r="G33" s="3"/>
      <c r="H33" s="2"/>
      <c r="I33" s="2"/>
      <c r="J33" s="2"/>
      <c r="K33" s="2"/>
      <c r="L33" s="2" t="str">
        <f t="shared" si="0"/>
        <v/>
      </c>
      <c r="M33" s="2"/>
      <c r="N33" s="2"/>
      <c r="O33" s="2"/>
      <c r="P33" s="2"/>
      <c r="Q33" s="2" t="str">
        <f t="shared" si="1"/>
        <v/>
      </c>
      <c r="R33" s="2"/>
      <c r="S33" s="2" t="s">
        <v>29</v>
      </c>
      <c r="T33" s="2" t="s">
        <v>30</v>
      </c>
      <c r="U33" s="3" t="s">
        <v>168</v>
      </c>
      <c r="V33" s="3"/>
    </row>
    <row r="34" spans="1:22" ht="39.6" customHeight="1">
      <c r="A34" s="2" t="s">
        <v>169</v>
      </c>
      <c r="B34" s="2" t="s">
        <v>164</v>
      </c>
      <c r="C34" s="3" t="s">
        <v>38</v>
      </c>
      <c r="D34" s="3" t="s">
        <v>165</v>
      </c>
      <c r="E34" s="2" t="s">
        <v>26</v>
      </c>
      <c r="F34" s="9" t="str">
        <f>'Question Bank &amp; Key'!D13</f>
        <v>Write a clean Python function `is_palindrome(s: str) -&gt; bool` that checks if a string is a palindrome, ignoring non-alphanumeric characters and case. Provide a brief trace of why it works.</v>
      </c>
      <c r="G34" s="3"/>
      <c r="H34" s="2"/>
      <c r="I34" s="2"/>
      <c r="J34" s="2"/>
      <c r="K34" s="2"/>
      <c r="L34" s="2" t="str">
        <f t="shared" si="0"/>
        <v/>
      </c>
      <c r="M34" s="2"/>
      <c r="N34" s="2"/>
      <c r="O34" s="2"/>
      <c r="P34" s="2"/>
      <c r="Q34" s="2" t="str">
        <f t="shared" si="1"/>
        <v/>
      </c>
      <c r="R34" s="2"/>
      <c r="S34" s="2" t="s">
        <v>29</v>
      </c>
      <c r="T34" s="2" t="s">
        <v>30</v>
      </c>
      <c r="U34" s="3" t="s">
        <v>170</v>
      </c>
      <c r="V34" s="3"/>
    </row>
    <row r="35" spans="1:22" ht="39.6" customHeight="1">
      <c r="A35" s="2" t="s">
        <v>171</v>
      </c>
      <c r="B35" s="2" t="s">
        <v>172</v>
      </c>
      <c r="C35" s="3" t="s">
        <v>24</v>
      </c>
      <c r="D35" s="3" t="s">
        <v>165</v>
      </c>
      <c r="E35" s="2" t="s">
        <v>26</v>
      </c>
      <c r="F35" s="9" t="str">
        <f>'Question Bank &amp; Key'!D14</f>
        <v>Trace the execution of this Python code snippet and determine the exact printed output:
x = [1, 2, 3]
y = x
y.append(4)
print(len(x), x == y)
Explain why `len(x)` is affected.</v>
      </c>
      <c r="G35" s="3"/>
      <c r="H35" s="2"/>
      <c r="I35" s="2"/>
      <c r="J35" s="2"/>
      <c r="K35" s="2"/>
      <c r="L35" s="2" t="str">
        <f t="shared" si="0"/>
        <v/>
      </c>
      <c r="M35" s="2"/>
      <c r="N35" s="2"/>
      <c r="O35" s="2"/>
      <c r="P35" s="2"/>
      <c r="Q35" s="2" t="str">
        <f t="shared" si="1"/>
        <v/>
      </c>
      <c r="R35" s="2"/>
      <c r="S35" s="2" t="s">
        <v>29</v>
      </c>
      <c r="T35" s="2" t="s">
        <v>30</v>
      </c>
      <c r="U35" s="3" t="s">
        <v>173</v>
      </c>
      <c r="V35" s="3"/>
    </row>
    <row r="36" spans="1:22" ht="39.6" customHeight="1">
      <c r="A36" s="2" t="s">
        <v>174</v>
      </c>
      <c r="B36" s="2" t="s">
        <v>172</v>
      </c>
      <c r="C36" s="3" t="s">
        <v>33</v>
      </c>
      <c r="D36" s="3" t="s">
        <v>165</v>
      </c>
      <c r="E36" s="2" t="s">
        <v>26</v>
      </c>
      <c r="F36" s="9" t="str">
        <f>'Question Bank &amp; Key'!D14</f>
        <v>Trace the execution of this Python code snippet and determine the exact printed output:
x = [1, 2, 3]
y = x
y.append(4)
print(len(x), x == y)
Explain why `len(x)` is affected.</v>
      </c>
      <c r="G36" s="3"/>
      <c r="H36" s="2"/>
      <c r="I36" s="2"/>
      <c r="J36" s="2"/>
      <c r="K36" s="2"/>
      <c r="L36" s="2" t="str">
        <f t="shared" si="0"/>
        <v/>
      </c>
      <c r="M36" s="2"/>
      <c r="N36" s="2"/>
      <c r="O36" s="2"/>
      <c r="P36" s="2"/>
      <c r="Q36" s="2" t="str">
        <f t="shared" si="1"/>
        <v/>
      </c>
      <c r="R36" s="2"/>
      <c r="S36" s="2" t="s">
        <v>29</v>
      </c>
      <c r="T36" s="2" t="s">
        <v>30</v>
      </c>
      <c r="U36" s="3" t="s">
        <v>175</v>
      </c>
      <c r="V36" s="3"/>
    </row>
    <row r="37" spans="1:22" ht="39.6" customHeight="1">
      <c r="A37" s="2" t="s">
        <v>176</v>
      </c>
      <c r="B37" s="2" t="s">
        <v>172</v>
      </c>
      <c r="C37" s="3" t="s">
        <v>38</v>
      </c>
      <c r="D37" s="3" t="s">
        <v>165</v>
      </c>
      <c r="E37" s="2" t="s">
        <v>26</v>
      </c>
      <c r="F37" s="9" t="str">
        <f>'Question Bank &amp; Key'!D14</f>
        <v>Trace the execution of this Python code snippet and determine the exact printed output:
x = [1, 2, 3]
y = x
y.append(4)
print(len(x), x == y)
Explain why `len(x)` is affected.</v>
      </c>
      <c r="G37" s="3"/>
      <c r="H37" s="2"/>
      <c r="I37" s="2"/>
      <c r="J37" s="2"/>
      <c r="K37" s="2"/>
      <c r="L37" s="2" t="str">
        <f t="shared" si="0"/>
        <v/>
      </c>
      <c r="M37" s="2"/>
      <c r="N37" s="2"/>
      <c r="O37" s="2"/>
      <c r="P37" s="2"/>
      <c r="Q37" s="2" t="str">
        <f t="shared" si="1"/>
        <v/>
      </c>
      <c r="R37" s="2"/>
      <c r="S37" s="2" t="s">
        <v>29</v>
      </c>
      <c r="T37" s="2" t="s">
        <v>30</v>
      </c>
      <c r="U37" s="3" t="s">
        <v>177</v>
      </c>
      <c r="V37" s="3"/>
    </row>
    <row r="38" spans="1:22" ht="39.6" customHeight="1">
      <c r="A38" s="2" t="s">
        <v>178</v>
      </c>
      <c r="B38" s="2" t="s">
        <v>179</v>
      </c>
      <c r="C38" s="3" t="s">
        <v>24</v>
      </c>
      <c r="D38" s="3" t="s">
        <v>165</v>
      </c>
      <c r="E38" s="2" t="s">
        <v>58</v>
      </c>
      <c r="F38" s="9" t="str">
        <f>'Question Bank &amp; Key'!D15</f>
        <v>Identify the bug in the following binary search implementation and explain how to fix it:
def binary_search(arr, target):
    low = 0
    high = len(arr)
    while low &lt; high:
        mid = (low + high) // 2
        if arr[mid] == target:
            return mid
        elif arr[mid] &lt; target:
            low = mid
        else:
            high = mid - 1
    return -1</v>
      </c>
      <c r="G38" s="3"/>
      <c r="H38" s="2"/>
      <c r="I38" s="2"/>
      <c r="J38" s="2"/>
      <c r="K38" s="2"/>
      <c r="L38" s="2" t="str">
        <f t="shared" si="0"/>
        <v/>
      </c>
      <c r="M38" s="2"/>
      <c r="N38" s="2"/>
      <c r="O38" s="2"/>
      <c r="P38" s="2"/>
      <c r="Q38" s="2" t="str">
        <f t="shared" si="1"/>
        <v/>
      </c>
      <c r="R38" s="2"/>
      <c r="S38" s="2" t="s">
        <v>29</v>
      </c>
      <c r="T38" s="2" t="s">
        <v>30</v>
      </c>
      <c r="U38" s="3" t="s">
        <v>180</v>
      </c>
      <c r="V38" s="3"/>
    </row>
    <row r="39" spans="1:22" ht="39.6" customHeight="1">
      <c r="A39" s="2" t="s">
        <v>181</v>
      </c>
      <c r="B39" s="2" t="s">
        <v>179</v>
      </c>
      <c r="C39" s="3" t="s">
        <v>33</v>
      </c>
      <c r="D39" s="3" t="s">
        <v>165</v>
      </c>
      <c r="E39" s="2" t="s">
        <v>58</v>
      </c>
      <c r="F39" s="9" t="str">
        <f>'Question Bank &amp; Key'!D15</f>
        <v>Identify the bug in the following binary search implementation and explain how to fix it:
def binary_search(arr, target):
    low = 0
    high = len(arr)
    while low &lt; high:
        mid = (low + high) // 2
        if arr[mid] == target:
            return mid
        elif arr[mid] &lt; target:
            low = mid
        else:
            high = mid - 1
    return -1</v>
      </c>
      <c r="G39" s="3"/>
      <c r="H39" s="2"/>
      <c r="I39" s="2"/>
      <c r="J39" s="2"/>
      <c r="K39" s="2"/>
      <c r="L39" s="2" t="str">
        <f t="shared" si="0"/>
        <v/>
      </c>
      <c r="M39" s="2"/>
      <c r="N39" s="2"/>
      <c r="O39" s="2"/>
      <c r="P39" s="2"/>
      <c r="Q39" s="2" t="str">
        <f t="shared" si="1"/>
        <v/>
      </c>
      <c r="R39" s="2"/>
      <c r="S39" s="2" t="s">
        <v>29</v>
      </c>
      <c r="T39" s="2" t="s">
        <v>30</v>
      </c>
      <c r="U39" s="3" t="s">
        <v>182</v>
      </c>
      <c r="V39" s="3"/>
    </row>
    <row r="40" spans="1:22" ht="39.6" customHeight="1">
      <c r="A40" s="2" t="s">
        <v>183</v>
      </c>
      <c r="B40" s="2" t="s">
        <v>179</v>
      </c>
      <c r="C40" s="3" t="s">
        <v>38</v>
      </c>
      <c r="D40" s="3" t="s">
        <v>165</v>
      </c>
      <c r="E40" s="2" t="s">
        <v>58</v>
      </c>
      <c r="F40" s="9" t="str">
        <f>'Question Bank &amp; Key'!D15</f>
        <v>Identify the bug in the following binary search implementation and explain how to fix it:
def binary_search(arr, target):
    low = 0
    high = len(arr)
    while low &lt; high:
        mid = (low + high) // 2
        if arr[mid] == target:
            return mid
        elif arr[mid] &lt; target:
            low = mid
        else:
            high = mid - 1
    return -1</v>
      </c>
      <c r="G40" s="3"/>
      <c r="H40" s="2"/>
      <c r="I40" s="2"/>
      <c r="J40" s="2"/>
      <c r="K40" s="2"/>
      <c r="L40" s="2" t="str">
        <f t="shared" si="0"/>
        <v/>
      </c>
      <c r="M40" s="2"/>
      <c r="N40" s="2"/>
      <c r="O40" s="2"/>
      <c r="P40" s="2"/>
      <c r="Q40" s="2" t="str">
        <f t="shared" si="1"/>
        <v/>
      </c>
      <c r="R40" s="2"/>
      <c r="S40" s="2" t="s">
        <v>29</v>
      </c>
      <c r="T40" s="2" t="s">
        <v>30</v>
      </c>
      <c r="U40" s="3" t="s">
        <v>184</v>
      </c>
      <c r="V40" s="3"/>
    </row>
    <row r="41" spans="1:22" ht="39.6" customHeight="1">
      <c r="A41" s="2" t="s">
        <v>185</v>
      </c>
      <c r="B41" s="2" t="s">
        <v>186</v>
      </c>
      <c r="C41" s="3" t="s">
        <v>24</v>
      </c>
      <c r="D41" s="3" t="s">
        <v>165</v>
      </c>
      <c r="E41" s="2" t="s">
        <v>58</v>
      </c>
      <c r="F41" s="9" t="str">
        <f>'Question Bank &amp; Key'!D16</f>
        <v>Describe Floyd's Cycle-Finding Algorithm (Tortoise and Hare) for detecting a loop in a singly linked list. Explain why the time complexity is O(N) and the auxiliary space complexity is O(1).</v>
      </c>
      <c r="G41" s="3"/>
      <c r="H41" s="2"/>
      <c r="I41" s="2"/>
      <c r="J41" s="2"/>
      <c r="K41" s="2"/>
      <c r="L41" s="2" t="str">
        <f t="shared" si="0"/>
        <v/>
      </c>
      <c r="M41" s="2"/>
      <c r="N41" s="2"/>
      <c r="O41" s="2"/>
      <c r="P41" s="2"/>
      <c r="Q41" s="2" t="str">
        <f t="shared" si="1"/>
        <v/>
      </c>
      <c r="R41" s="2"/>
      <c r="S41" s="2" t="s">
        <v>29</v>
      </c>
      <c r="T41" s="2" t="s">
        <v>30</v>
      </c>
      <c r="U41" s="3" t="s">
        <v>187</v>
      </c>
      <c r="V41" s="3"/>
    </row>
    <row r="42" spans="1:22" ht="39.6" customHeight="1">
      <c r="A42" s="2" t="s">
        <v>188</v>
      </c>
      <c r="B42" s="2" t="s">
        <v>186</v>
      </c>
      <c r="C42" s="3" t="s">
        <v>33</v>
      </c>
      <c r="D42" s="3" t="s">
        <v>165</v>
      </c>
      <c r="E42" s="2" t="s">
        <v>58</v>
      </c>
      <c r="F42" s="9" t="str">
        <f>'Question Bank &amp; Key'!D16</f>
        <v>Describe Floyd's Cycle-Finding Algorithm (Tortoise and Hare) for detecting a loop in a singly linked list. Explain why the time complexity is O(N) and the auxiliary space complexity is O(1).</v>
      </c>
      <c r="G42" s="3"/>
      <c r="H42" s="2"/>
      <c r="I42" s="2"/>
      <c r="J42" s="2"/>
      <c r="K42" s="2"/>
      <c r="L42" s="2" t="str">
        <f t="shared" si="0"/>
        <v/>
      </c>
      <c r="M42" s="2"/>
      <c r="N42" s="2"/>
      <c r="O42" s="2"/>
      <c r="P42" s="2"/>
      <c r="Q42" s="2" t="str">
        <f t="shared" si="1"/>
        <v/>
      </c>
      <c r="R42" s="2"/>
      <c r="S42" s="2" t="s">
        <v>29</v>
      </c>
      <c r="T42" s="2" t="s">
        <v>30</v>
      </c>
      <c r="U42" s="3" t="s">
        <v>189</v>
      </c>
      <c r="V42" s="3"/>
    </row>
    <row r="43" spans="1:22" ht="39.6" customHeight="1">
      <c r="A43" s="2" t="s">
        <v>190</v>
      </c>
      <c r="B43" s="2" t="s">
        <v>186</v>
      </c>
      <c r="C43" s="3" t="s">
        <v>38</v>
      </c>
      <c r="D43" s="3" t="s">
        <v>165</v>
      </c>
      <c r="E43" s="2" t="s">
        <v>58</v>
      </c>
      <c r="F43" s="9" t="str">
        <f>'Question Bank &amp; Key'!D16</f>
        <v>Describe Floyd's Cycle-Finding Algorithm (Tortoise and Hare) for detecting a loop in a singly linked list. Explain why the time complexity is O(N) and the auxiliary space complexity is O(1).</v>
      </c>
      <c r="G43" s="3"/>
      <c r="H43" s="2"/>
      <c r="I43" s="2"/>
      <c r="J43" s="2"/>
      <c r="K43" s="2"/>
      <c r="L43" s="2" t="str">
        <f t="shared" si="0"/>
        <v/>
      </c>
      <c r="M43" s="2"/>
      <c r="N43" s="2"/>
      <c r="O43" s="2"/>
      <c r="P43" s="2"/>
      <c r="Q43" s="2" t="str">
        <f t="shared" si="1"/>
        <v/>
      </c>
      <c r="R43" s="2"/>
      <c r="S43" s="2" t="s">
        <v>29</v>
      </c>
      <c r="T43" s="2" t="s">
        <v>30</v>
      </c>
      <c r="U43" s="3" t="s">
        <v>191</v>
      </c>
      <c r="V43" s="3"/>
    </row>
    <row r="44" spans="1:22" ht="39.6" customHeight="1">
      <c r="A44" s="2" t="s">
        <v>192</v>
      </c>
      <c r="B44" s="2" t="s">
        <v>193</v>
      </c>
      <c r="C44" s="3" t="s">
        <v>24</v>
      </c>
      <c r="D44" s="3" t="s">
        <v>165</v>
      </c>
      <c r="E44" s="2" t="s">
        <v>85</v>
      </c>
      <c r="F44" s="9" t="str">
        <f>'Question Bank &amp; Key'!D17</f>
        <v>Propose an optimal algorithm in Python to find the Longest Increasing Subsequence (LIS) in O(N log N) time complexity using patience sorting / binary search. Provide the complete code, step-by-step invariant explanation, and complexity analysis.</v>
      </c>
      <c r="G44" s="3"/>
      <c r="H44" s="2"/>
      <c r="I44" s="2"/>
      <c r="J44" s="2"/>
      <c r="K44" s="2"/>
      <c r="L44" s="2" t="str">
        <f t="shared" si="0"/>
        <v/>
      </c>
      <c r="M44" s="2"/>
      <c r="N44" s="2"/>
      <c r="O44" s="2"/>
      <c r="P44" s="2"/>
      <c r="Q44" s="2" t="str">
        <f t="shared" si="1"/>
        <v/>
      </c>
      <c r="R44" s="2"/>
      <c r="S44" s="2" t="s">
        <v>29</v>
      </c>
      <c r="T44" s="2" t="s">
        <v>30</v>
      </c>
      <c r="U44" s="3" t="s">
        <v>194</v>
      </c>
      <c r="V44" s="3"/>
    </row>
    <row r="45" spans="1:22" ht="39.6" customHeight="1">
      <c r="A45" s="2" t="s">
        <v>195</v>
      </c>
      <c r="B45" s="2" t="s">
        <v>193</v>
      </c>
      <c r="C45" s="3" t="s">
        <v>33</v>
      </c>
      <c r="D45" s="3" t="s">
        <v>165</v>
      </c>
      <c r="E45" s="2" t="s">
        <v>85</v>
      </c>
      <c r="F45" s="9" t="str">
        <f>'Question Bank &amp; Key'!D17</f>
        <v>Propose an optimal algorithm in Python to find the Longest Increasing Subsequence (LIS) in O(N log N) time complexity using patience sorting / binary search. Provide the complete code, step-by-step invariant explanation, and complexity analysis.</v>
      </c>
      <c r="G45" s="3"/>
      <c r="H45" s="2"/>
      <c r="I45" s="2"/>
      <c r="J45" s="2"/>
      <c r="K45" s="2"/>
      <c r="L45" s="2" t="str">
        <f t="shared" si="0"/>
        <v/>
      </c>
      <c r="M45" s="2"/>
      <c r="N45" s="2"/>
      <c r="O45" s="2"/>
      <c r="P45" s="2"/>
      <c r="Q45" s="2" t="str">
        <f t="shared" si="1"/>
        <v/>
      </c>
      <c r="R45" s="2"/>
      <c r="S45" s="2" t="s">
        <v>29</v>
      </c>
      <c r="T45" s="2" t="s">
        <v>30</v>
      </c>
      <c r="U45" s="3" t="s">
        <v>196</v>
      </c>
      <c r="V45" s="3"/>
    </row>
    <row r="46" spans="1:22" ht="39.6" customHeight="1">
      <c r="A46" s="2" t="s">
        <v>197</v>
      </c>
      <c r="B46" s="2" t="s">
        <v>193</v>
      </c>
      <c r="C46" s="3" t="s">
        <v>38</v>
      </c>
      <c r="D46" s="3" t="s">
        <v>165</v>
      </c>
      <c r="E46" s="2" t="s">
        <v>85</v>
      </c>
      <c r="F46" s="9" t="str">
        <f>'Question Bank &amp; Key'!D17</f>
        <v>Propose an optimal algorithm in Python to find the Longest Increasing Subsequence (LIS) in O(N log N) time complexity using patience sorting / binary search. Provide the complete code, step-by-step invariant explanation, and complexity analysis.</v>
      </c>
      <c r="G46" s="3"/>
      <c r="H46" s="2"/>
      <c r="I46" s="2"/>
      <c r="J46" s="2"/>
      <c r="K46" s="2"/>
      <c r="L46" s="2" t="str">
        <f t="shared" si="0"/>
        <v/>
      </c>
      <c r="M46" s="2"/>
      <c r="N46" s="2"/>
      <c r="O46" s="2"/>
      <c r="P46" s="2"/>
      <c r="Q46" s="2" t="str">
        <f t="shared" si="1"/>
        <v/>
      </c>
      <c r="R46" s="2"/>
      <c r="S46" s="2" t="s">
        <v>29</v>
      </c>
      <c r="T46" s="2" t="s">
        <v>30</v>
      </c>
      <c r="U46" s="3" t="s">
        <v>198</v>
      </c>
      <c r="V46" s="3"/>
    </row>
    <row r="51" spans="4:21">
      <c r="D51" s="15" t="s">
        <v>244</v>
      </c>
      <c r="E51" s="14"/>
      <c r="F51" s="14"/>
      <c r="G51" s="14"/>
      <c r="H51" s="14"/>
      <c r="I51" s="14"/>
      <c r="J51" s="14"/>
      <c r="K51" s="14"/>
      <c r="L51" s="14"/>
      <c r="M51" s="14"/>
      <c r="N51" s="14"/>
      <c r="O51" s="14"/>
      <c r="P51" s="14"/>
      <c r="Q51" s="14"/>
      <c r="R51" s="14"/>
      <c r="S51" s="14"/>
      <c r="T51" s="14"/>
      <c r="U51" s="14"/>
    </row>
    <row r="52" spans="4:21">
      <c r="D52" s="14"/>
      <c r="E52" s="14"/>
      <c r="F52" s="14"/>
      <c r="G52" s="14"/>
      <c r="H52" s="14"/>
      <c r="I52" s="14"/>
      <c r="J52" s="14"/>
      <c r="K52" s="14"/>
      <c r="L52" s="14"/>
      <c r="M52" s="14"/>
      <c r="N52" s="14"/>
      <c r="O52" s="14"/>
      <c r="P52" s="14"/>
      <c r="Q52" s="14"/>
      <c r="R52" s="14"/>
      <c r="S52" s="14"/>
      <c r="T52" s="14"/>
      <c r="U52" s="14"/>
    </row>
    <row r="53" spans="4:21">
      <c r="D53" s="14"/>
      <c r="E53" s="14"/>
      <c r="F53" s="14"/>
      <c r="G53" s="14"/>
      <c r="H53" s="14"/>
      <c r="I53" s="14"/>
      <c r="J53" s="14"/>
      <c r="K53" s="14"/>
      <c r="L53" s="14"/>
      <c r="M53" s="14"/>
      <c r="N53" s="14"/>
      <c r="O53" s="14"/>
      <c r="P53" s="14"/>
      <c r="Q53" s="14"/>
      <c r="R53" s="14"/>
      <c r="S53" s="14"/>
      <c r="T53" s="14"/>
      <c r="U53" s="14"/>
    </row>
  </sheetData>
  <mergeCells count="1">
    <mergeCell ref="D51:U53"/>
  </mergeCells>
  <dataValidations count="3">
    <dataValidation type="whole" allowBlank="1" errorTitle="Invalid Score Range" error="Enter 0, 1, or 2 as per the rubric." promptTitle="Rubric Score" prompt="Score: 0, 1, or 2" sqref="H2:K46" xr:uid="{00000000-0002-0000-0000-000000000000}">
      <formula1>0</formula1>
      <formula2>2</formula2>
    </dataValidation>
    <dataValidation type="list" allowBlank="1" errorTitle="Invalid Completion Status" error="Choose from Completed, Timeout, OOM, Error" sqref="S2:S46" xr:uid="{00000000-0002-0000-0000-000001000000}">
      <formula1>"Completed,Timeout,OOM,Error"</formula1>
    </dataValidation>
    <dataValidation type="list" allowBlank="1" errorTitle="Invalid Verification Status" error="Choose from Pending, Verified, Flagged" sqref="T2:T46" xr:uid="{00000000-0002-0000-0000-000002000000}">
      <formula1>"Pending,Verified,Flagged"</formula1>
    </dataValidation>
  </dataValidations>
  <pageMargins left="0.75" right="0.75" top="1" bottom="1" header="0.5" footer="0.5"/>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
  <sheetViews>
    <sheetView workbookViewId="0"/>
  </sheetViews>
  <sheetFormatPr defaultRowHeight="14.4"/>
  <cols>
    <col min="1" max="1" width="24" customWidth="1"/>
    <col min="2" max="2" width="20" customWidth="1"/>
    <col min="3" max="5" width="22" customWidth="1"/>
  </cols>
  <sheetData>
    <row r="1" spans="1:5" ht="24" customHeight="1">
      <c r="A1" s="4" t="s">
        <v>199</v>
      </c>
    </row>
    <row r="3" spans="1:5" ht="25.95" customHeight="1">
      <c r="A3" s="1" t="s">
        <v>2</v>
      </c>
      <c r="B3" s="1" t="s">
        <v>200</v>
      </c>
      <c r="C3" s="1" t="s">
        <v>201</v>
      </c>
      <c r="D3" s="1" t="s">
        <v>202</v>
      </c>
      <c r="E3" s="1" t="s">
        <v>203</v>
      </c>
    </row>
    <row r="4" spans="1:5" ht="22.05" customHeight="1">
      <c r="A4" s="5" t="s">
        <v>24</v>
      </c>
      <c r="B4" s="6">
        <f>ROUND(COUNTIFS('Scoring Register'!$C$2:$C$46, "phi4-mini-reasoning", 'Scoring Register'!$H$2:$H$46, 2) / 15 * 100, 1)</f>
        <v>0</v>
      </c>
      <c r="C4" s="6" t="str">
        <f>IFERROR(ROUND(AVERAGEIF('Scoring Register'!$C$2:$C$46, "phi4-mini-reasoning", 'Scoring Register'!$L$2:$L$46), 2), "-")</f>
        <v>-</v>
      </c>
      <c r="D4" s="6">
        <f>IFERROR(ROUND(AVERAGEIF('Scoring Register'!$C$2:$C$46, "phi4-mini-reasoning", 'Scoring Register'!$N$2:$N$46), 2), "-")</f>
        <v>29.41</v>
      </c>
      <c r="E4" s="6">
        <f>IFERROR(ROUND(AVERAGEIF('Scoring Register'!$C$2:$C$46, "phi4-mini-reasoning", 'Scoring Register'!$Q$2:$Q$46), 2), "-")</f>
        <v>38.26</v>
      </c>
    </row>
    <row r="5" spans="1:5" ht="22.05" customHeight="1">
      <c r="A5" s="5" t="s">
        <v>33</v>
      </c>
      <c r="B5" s="6">
        <f>ROUND(COUNTIFS('Scoring Register'!$C$2:$C$46, "deepseek-r1:7b", 'Scoring Register'!$H$2:$H$46, 2) / 15 * 100, 1)</f>
        <v>0</v>
      </c>
      <c r="C5" s="6" t="str">
        <f>IFERROR(ROUND(AVERAGEIF('Scoring Register'!$C$2:$C$46, "deepseek-r1:7b", 'Scoring Register'!$L$2:$L$46), 2), "-")</f>
        <v>-</v>
      </c>
      <c r="D5" s="6">
        <f>IFERROR(ROUND(AVERAGEIF('Scoring Register'!$C$2:$C$46, "deepseek-r1:7b", 'Scoring Register'!$N$2:$N$46), 2), "-")</f>
        <v>25.69</v>
      </c>
      <c r="E5" s="6">
        <f>IFERROR(ROUND(AVERAGEIF('Scoring Register'!$C$2:$C$46, "deepseek-r1:7b", 'Scoring Register'!$Q$2:$Q$46), 2), "-")</f>
        <v>28.92</v>
      </c>
    </row>
    <row r="6" spans="1:5" ht="22.05" customHeight="1">
      <c r="A6" s="5" t="s">
        <v>38</v>
      </c>
      <c r="B6" s="6">
        <f>ROUND(COUNTIFS('Scoring Register'!$C$2:$C$46, "qwen3:8b", 'Scoring Register'!$H$2:$H$46, 2) / 15 * 100, 1)</f>
        <v>0</v>
      </c>
      <c r="C6" s="6" t="str">
        <f>IFERROR(ROUND(AVERAGEIF('Scoring Register'!$C$2:$C$46, "qwen3:8b", 'Scoring Register'!$L$2:$L$46), 2), "-")</f>
        <v>-</v>
      </c>
      <c r="D6" s="6">
        <f>IFERROR(ROUND(AVERAGEIF('Scoring Register'!$C$2:$C$46, "qwen3:8b", 'Scoring Register'!$N$2:$N$46), 2), "-")</f>
        <v>38.04</v>
      </c>
      <c r="E6" s="6">
        <f>IFERROR(ROUND(AVERAGEIF('Scoring Register'!$C$2:$C$46, "qwen3:8b", 'Scoring Register'!$Q$2:$Q$46), 2), "-")</f>
        <v>30.83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7"/>
  <sheetViews>
    <sheetView workbookViewId="0"/>
  </sheetViews>
  <sheetFormatPr defaultRowHeight="14.4"/>
  <cols>
    <col min="1" max="1" width="24" customWidth="1"/>
    <col min="2" max="2" width="32" customWidth="1"/>
    <col min="3" max="4" width="35" customWidth="1"/>
  </cols>
  <sheetData>
    <row r="1" spans="1:4" ht="24" customHeight="1">
      <c r="A1" s="4" t="s">
        <v>204</v>
      </c>
    </row>
    <row r="3" spans="1:4" ht="24" customHeight="1">
      <c r="A3" s="7" t="s">
        <v>205</v>
      </c>
      <c r="B3" s="7" t="s">
        <v>206</v>
      </c>
      <c r="C3" s="7" t="s">
        <v>207</v>
      </c>
      <c r="D3" s="7" t="s">
        <v>208</v>
      </c>
    </row>
    <row r="4" spans="1:4" ht="24" customHeight="1">
      <c r="A4" s="5" t="s">
        <v>209</v>
      </c>
      <c r="B4" s="6" t="s">
        <v>210</v>
      </c>
      <c r="C4" s="6" t="s">
        <v>211</v>
      </c>
      <c r="D4" s="6" t="s">
        <v>212</v>
      </c>
    </row>
    <row r="5" spans="1:4" ht="24" customHeight="1">
      <c r="A5" s="5" t="s">
        <v>213</v>
      </c>
      <c r="B5" s="6" t="s">
        <v>214</v>
      </c>
      <c r="C5" s="6" t="s">
        <v>215</v>
      </c>
      <c r="D5" s="6" t="s">
        <v>216</v>
      </c>
    </row>
    <row r="6" spans="1:4" ht="24" customHeight="1">
      <c r="A6" s="5" t="s">
        <v>217</v>
      </c>
      <c r="B6" s="6" t="s">
        <v>218</v>
      </c>
      <c r="C6" s="6" t="s">
        <v>219</v>
      </c>
      <c r="D6" s="6" t="s">
        <v>220</v>
      </c>
    </row>
    <row r="7" spans="1:4" ht="24" customHeight="1">
      <c r="A7" s="5" t="s">
        <v>221</v>
      </c>
      <c r="B7" s="6" t="s">
        <v>222</v>
      </c>
      <c r="C7" s="6" t="s">
        <v>223</v>
      </c>
      <c r="D7" s="6" t="s">
        <v>224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7"/>
  <sheetViews>
    <sheetView workbookViewId="0">
      <pane xSplit="1" ySplit="2" topLeftCell="B3" activePane="bottomRight" state="frozen"/>
      <selection pane="topRight"/>
      <selection pane="bottomLeft"/>
      <selection pane="bottomRight"/>
    </sheetView>
  </sheetViews>
  <sheetFormatPr defaultRowHeight="14.4"/>
  <cols>
    <col min="1" max="1" width="14" customWidth="1"/>
    <col min="2" max="2" width="24" customWidth="1"/>
    <col min="3" max="3" width="12" customWidth="1"/>
    <col min="4" max="4" width="50" customWidth="1"/>
    <col min="5" max="5" width="30" customWidth="1"/>
    <col min="6" max="6" width="45" customWidth="1"/>
  </cols>
  <sheetData>
    <row r="1" spans="1:6" ht="24" customHeight="1">
      <c r="A1" s="4" t="s">
        <v>225</v>
      </c>
    </row>
    <row r="2" spans="1:6" ht="28.05" customHeight="1">
      <c r="A2" s="1" t="s">
        <v>1</v>
      </c>
      <c r="B2" s="1" t="s">
        <v>3</v>
      </c>
      <c r="C2" s="1" t="s">
        <v>4</v>
      </c>
      <c r="D2" s="1" t="s">
        <v>226</v>
      </c>
      <c r="E2" s="1" t="s">
        <v>227</v>
      </c>
      <c r="F2" s="1" t="s">
        <v>228</v>
      </c>
    </row>
    <row r="3" spans="1:6" ht="48" customHeight="1">
      <c r="A3" s="11" t="s">
        <v>23</v>
      </c>
      <c r="B3" s="12" t="s">
        <v>25</v>
      </c>
      <c r="C3" s="11" t="s">
        <v>26</v>
      </c>
      <c r="D3" s="13" t="s">
        <v>229</v>
      </c>
      <c r="E3" s="8"/>
      <c r="F3" s="8"/>
    </row>
    <row r="4" spans="1:6" ht="48" customHeight="1">
      <c r="A4" s="11" t="s">
        <v>43</v>
      </c>
      <c r="B4" s="12" t="s">
        <v>25</v>
      </c>
      <c r="C4" s="11" t="s">
        <v>26</v>
      </c>
      <c r="D4" s="13" t="s">
        <v>230</v>
      </c>
      <c r="E4" s="8"/>
      <c r="F4" s="8"/>
    </row>
    <row r="5" spans="1:6" ht="48" customHeight="1">
      <c r="A5" s="11" t="s">
        <v>57</v>
      </c>
      <c r="B5" s="12" t="s">
        <v>25</v>
      </c>
      <c r="C5" s="11" t="s">
        <v>58</v>
      </c>
      <c r="D5" s="13" t="s">
        <v>231</v>
      </c>
      <c r="E5" s="8"/>
      <c r="F5" s="8"/>
    </row>
    <row r="6" spans="1:6" ht="48" customHeight="1">
      <c r="A6" s="11" t="s">
        <v>71</v>
      </c>
      <c r="B6" s="12" t="s">
        <v>25</v>
      </c>
      <c r="C6" s="11" t="s">
        <v>58</v>
      </c>
      <c r="D6" s="13" t="s">
        <v>232</v>
      </c>
      <c r="E6" s="8"/>
      <c r="F6" s="8"/>
    </row>
    <row r="7" spans="1:6" ht="79.95" customHeight="1">
      <c r="A7" s="11" t="s">
        <v>84</v>
      </c>
      <c r="B7" s="12" t="s">
        <v>25</v>
      </c>
      <c r="C7" s="11" t="s">
        <v>85</v>
      </c>
      <c r="D7" s="13" t="s">
        <v>233</v>
      </c>
      <c r="E7" s="8"/>
      <c r="F7" s="8"/>
    </row>
    <row r="8" spans="1:6" ht="64.05" customHeight="1">
      <c r="A8" s="11" t="s">
        <v>98</v>
      </c>
      <c r="B8" s="12" t="s">
        <v>99</v>
      </c>
      <c r="C8" s="11" t="s">
        <v>26</v>
      </c>
      <c r="D8" s="13" t="s">
        <v>234</v>
      </c>
      <c r="E8" s="8"/>
      <c r="F8" s="8"/>
    </row>
    <row r="9" spans="1:6" ht="64.05" customHeight="1">
      <c r="A9" s="11" t="s">
        <v>112</v>
      </c>
      <c r="B9" s="12" t="s">
        <v>99</v>
      </c>
      <c r="C9" s="11" t="s">
        <v>26</v>
      </c>
      <c r="D9" s="13" t="s">
        <v>235</v>
      </c>
      <c r="E9" s="8"/>
      <c r="F9" s="8"/>
    </row>
    <row r="10" spans="1:6" ht="79.95" customHeight="1">
      <c r="A10" s="11" t="s">
        <v>125</v>
      </c>
      <c r="B10" s="12" t="s">
        <v>99</v>
      </c>
      <c r="C10" s="11" t="s">
        <v>58</v>
      </c>
      <c r="D10" s="13" t="s">
        <v>236</v>
      </c>
      <c r="E10" s="8"/>
      <c r="F10" s="8"/>
    </row>
    <row r="11" spans="1:6" ht="79.95" customHeight="1">
      <c r="A11" s="11" t="s">
        <v>138</v>
      </c>
      <c r="B11" s="12" t="s">
        <v>99</v>
      </c>
      <c r="C11" s="11" t="s">
        <v>58</v>
      </c>
      <c r="D11" s="13" t="s">
        <v>237</v>
      </c>
      <c r="E11" s="8"/>
      <c r="F11" s="8"/>
    </row>
    <row r="12" spans="1:6" ht="96" customHeight="1">
      <c r="A12" s="11" t="s">
        <v>151</v>
      </c>
      <c r="B12" s="12" t="s">
        <v>99</v>
      </c>
      <c r="C12" s="11" t="s">
        <v>85</v>
      </c>
      <c r="D12" s="13" t="s">
        <v>238</v>
      </c>
      <c r="E12" s="8"/>
      <c r="F12" s="8"/>
    </row>
    <row r="13" spans="1:6" ht="79.95" customHeight="1">
      <c r="A13" s="11" t="s">
        <v>164</v>
      </c>
      <c r="B13" s="12" t="s">
        <v>165</v>
      </c>
      <c r="C13" s="11" t="s">
        <v>26</v>
      </c>
      <c r="D13" s="13" t="s">
        <v>239</v>
      </c>
      <c r="E13" s="8"/>
      <c r="F13" s="8"/>
    </row>
    <row r="14" spans="1:6" ht="127.95" customHeight="1">
      <c r="A14" s="11" t="s">
        <v>172</v>
      </c>
      <c r="B14" s="12" t="s">
        <v>165</v>
      </c>
      <c r="C14" s="11" t="s">
        <v>26</v>
      </c>
      <c r="D14" s="13" t="s">
        <v>240</v>
      </c>
      <c r="E14" s="8"/>
      <c r="F14" s="8"/>
    </row>
    <row r="15" spans="1:6" ht="223.95" customHeight="1">
      <c r="A15" s="11" t="s">
        <v>179</v>
      </c>
      <c r="B15" s="12" t="s">
        <v>165</v>
      </c>
      <c r="C15" s="11" t="s">
        <v>58</v>
      </c>
      <c r="D15" s="13" t="s">
        <v>241</v>
      </c>
      <c r="E15" s="8"/>
      <c r="F15" s="8"/>
    </row>
    <row r="16" spans="1:6" ht="79.95" customHeight="1">
      <c r="A16" s="11" t="s">
        <v>186</v>
      </c>
      <c r="B16" s="12" t="s">
        <v>165</v>
      </c>
      <c r="C16" s="11" t="s">
        <v>58</v>
      </c>
      <c r="D16" s="13" t="s">
        <v>242</v>
      </c>
      <c r="E16" s="8"/>
      <c r="F16" s="8"/>
    </row>
    <row r="17" spans="1:6" ht="96" customHeight="1">
      <c r="A17" s="11" t="s">
        <v>193</v>
      </c>
      <c r="B17" s="12" t="s">
        <v>165</v>
      </c>
      <c r="C17" s="11" t="s">
        <v>85</v>
      </c>
      <c r="D17" s="13" t="s">
        <v>243</v>
      </c>
      <c r="E17" s="8"/>
      <c r="F17" s="8"/>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Scoring Register</vt:lpstr>
      <vt:lpstr>Summary Dashboard</vt:lpstr>
      <vt:lpstr>Rubric Guide</vt:lpstr>
      <vt:lpstr>Question Bank &amp; Key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2026-09-16T03:45:50Z</dcterms:created>
  <dcterms:modified xsi:type="dcterms:W3CDTF">2026-09-16T05:05:17Z</dcterms:modified>
</cp:coreProperties>
</file>