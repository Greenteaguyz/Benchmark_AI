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ing Register" sheetId="1" state="visible" r:id="rId1"/>
    <sheet xmlns:r="http://schemas.openxmlformats.org/officeDocument/2006/relationships" name="Summary Dashboard" sheetId="2" state="visible" r:id="rId2"/>
    <sheet xmlns:r="http://schemas.openxmlformats.org/officeDocument/2006/relationships" name="Rubric Guide" sheetId="3" state="visible" r:id="rId3"/>
    <sheet xmlns:r="http://schemas.openxmlformats.org/officeDocument/2006/relationships" name="Question Bank &amp; Ke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2"/>
    </font>
    <font>
      <name val="Segoe UI"/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374151"/>
        <bgColor rgb="00374151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6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24" customWidth="1" min="4" max="4"/>
    <col width="12" customWidth="1" min="5" max="5"/>
    <col width="35" customWidth="1" min="6" max="6"/>
    <col width="35" customWidth="1" min="7" max="7"/>
    <col width="20" customWidth="1" min="8" max="8"/>
    <col width="23" customWidth="1" min="9" max="9"/>
    <col width="25" customWidth="1" min="10" max="10"/>
    <col width="20" customWidth="1" min="11" max="11"/>
    <col width="18" customWidth="1" min="12" max="12"/>
    <col width="20" customWidth="1" min="13" max="13"/>
    <col width="18" customWidth="1" min="14" max="14"/>
    <col width="23" customWidth="1" min="15" max="15"/>
    <col width="14" customWidth="1" min="16" max="16"/>
    <col width="14" customWidth="1" min="17" max="17"/>
    <col width="16" customWidth="1" min="18" max="18"/>
    <col width="18" customWidth="1" min="19" max="19"/>
    <col width="18" customWidth="1" min="20" max="20"/>
    <col width="26" customWidth="1" min="21" max="21"/>
    <col width="32" customWidth="1" min="22" max="22"/>
  </cols>
  <sheetData>
    <row r="1" ht="28" customHeight="1">
      <c r="A1" s="1" t="inlineStr">
        <is>
          <t>Response ID</t>
        </is>
      </c>
      <c r="B1" s="1" t="inlineStr">
        <is>
          <t>Question ID</t>
        </is>
      </c>
      <c r="C1" s="1" t="inlineStr">
        <is>
          <t>Model</t>
        </is>
      </c>
      <c r="D1" s="1" t="inlineStr">
        <is>
          <t>Category</t>
        </is>
      </c>
      <c r="E1" s="1" t="inlineStr">
        <is>
          <t>Difficulty</t>
        </is>
      </c>
      <c r="F1" s="1" t="inlineStr">
        <is>
          <t>Prompt Used</t>
        </is>
      </c>
      <c r="G1" s="1" t="inlineStr">
        <is>
          <t>Complete Response</t>
        </is>
      </c>
      <c r="H1" s="1" t="inlineStr">
        <is>
          <t>Final Answer (0–2)</t>
        </is>
      </c>
      <c r="I1" s="1" t="inlineStr">
        <is>
          <t>Reasoning Quality (0–2)</t>
        </is>
      </c>
      <c r="J1" s="1" t="inlineStr">
        <is>
          <t>Instruction Following (0–2)</t>
        </is>
      </c>
      <c r="K1" s="1" t="inlineStr">
        <is>
          <t>Factual Support (0–2)</t>
        </is>
      </c>
      <c r="L1" s="1" t="inlineStr">
        <is>
          <t>Total Score (0–8)</t>
        </is>
      </c>
      <c r="M1" s="1" t="inlineStr">
        <is>
          <t>Date &amp; Start Time</t>
        </is>
      </c>
      <c r="N1" s="1" t="inlineStr">
        <is>
          <t>Total Duration (s)</t>
        </is>
      </c>
      <c r="O1" s="1" t="inlineStr">
        <is>
          <t>Generation Duration (s)</t>
        </is>
      </c>
      <c r="P1" s="1" t="inlineStr">
        <is>
          <t>Output Tokens</t>
        </is>
      </c>
      <c r="Q1" s="1" t="inlineStr">
        <is>
          <t>Tokens/sec</t>
        </is>
      </c>
      <c r="R1" s="1" t="inlineStr">
        <is>
          <t>Peak VRAM (GB)</t>
        </is>
      </c>
      <c r="S1" s="1" t="inlineStr">
        <is>
          <t>Completion Status</t>
        </is>
      </c>
      <c r="T1" s="1" t="inlineStr">
        <is>
          <t>Verification Status</t>
        </is>
      </c>
      <c r="U1" s="1" t="inlineStr">
        <is>
          <t>Evidence Reference</t>
        </is>
      </c>
      <c r="V1" s="1" t="inlineStr">
        <is>
          <t>Evaluator Notes</t>
        </is>
      </c>
    </row>
    <row r="2" ht="20" customHeight="1">
      <c r="A2" s="2" t="inlineStr">
        <is>
          <t>Q01_PHI</t>
        </is>
      </c>
      <c r="B2" s="2" t="inlineStr">
        <is>
          <t>Q01</t>
        </is>
      </c>
      <c r="C2" s="3" t="inlineStr">
        <is>
          <t>phi4-mini-reasoning</t>
        </is>
      </c>
      <c r="D2" s="3" t="inlineStr">
        <is>
          <t>Mathematical reasoning</t>
        </is>
      </c>
      <c r="E2" s="2" t="inlineStr">
        <is>
          <t>Easy</t>
        </is>
      </c>
      <c r="F2" s="3">
        <f>'Question Bank &amp; Key'!D3</f>
        <v/>
      </c>
      <c r="G2" s="3" t="inlineStr"/>
      <c r="H2" s="2" t="n"/>
      <c r="I2" s="2" t="n"/>
      <c r="J2" s="2" t="n"/>
      <c r="K2" s="2" t="n"/>
      <c r="L2" s="2">
        <f>IF(COUNT(H2:K2)&gt;0, SUM(H2:K2), "")</f>
        <v/>
      </c>
      <c r="M2" s="2" t="n"/>
      <c r="N2" s="2" t="n"/>
      <c r="O2" s="2" t="n"/>
      <c r="P2" s="2" t="n"/>
      <c r="Q2" s="2">
        <f>IF(AND(ISNUMBER(N2), N2&gt;0, ISNUMBER(P2)), ROUND(P2/N2, 2), "")</f>
        <v/>
      </c>
      <c r="R2" s="2" t="n"/>
      <c r="S2" s="2" t="inlineStr">
        <is>
          <t>Completed</t>
        </is>
      </c>
      <c r="T2" s="2" t="inlineStr">
        <is>
          <t>Pending</t>
        </is>
      </c>
      <c r="U2" s="3" t="inlineStr">
        <is>
          <t>data/responses/Q01_PHI.json</t>
        </is>
      </c>
      <c r="V2" s="3" t="inlineStr"/>
    </row>
    <row r="3" ht="20" customHeight="1">
      <c r="A3" s="2" t="inlineStr">
        <is>
          <t>Q01_DSR1</t>
        </is>
      </c>
      <c r="B3" s="2" t="inlineStr">
        <is>
          <t>Q01</t>
        </is>
      </c>
      <c r="C3" s="3" t="inlineStr">
        <is>
          <t>deepseek-r1:7b</t>
        </is>
      </c>
      <c r="D3" s="3" t="inlineStr">
        <is>
          <t>Mathematical reasoning</t>
        </is>
      </c>
      <c r="E3" s="2" t="inlineStr">
        <is>
          <t>Easy</t>
        </is>
      </c>
      <c r="F3" s="3">
        <f>'Question Bank &amp; Key'!D3</f>
        <v/>
      </c>
      <c r="G3" s="3" t="inlineStr"/>
      <c r="H3" s="2" t="n"/>
      <c r="I3" s="2" t="n"/>
      <c r="J3" s="2" t="n"/>
      <c r="K3" s="2" t="n"/>
      <c r="L3" s="2">
        <f>IF(COUNT(H3:K3)&gt;0, SUM(H3:K3), "")</f>
        <v/>
      </c>
      <c r="M3" s="2" t="n"/>
      <c r="N3" s="2" t="n"/>
      <c r="O3" s="2" t="n"/>
      <c r="P3" s="2" t="n"/>
      <c r="Q3" s="2">
        <f>IF(AND(ISNUMBER(N3), N3&gt;0, ISNUMBER(P3)), ROUND(P3/N3, 2), "")</f>
        <v/>
      </c>
      <c r="R3" s="2" t="n"/>
      <c r="S3" s="2" t="inlineStr">
        <is>
          <t>Completed</t>
        </is>
      </c>
      <c r="T3" s="2" t="inlineStr">
        <is>
          <t>Pending</t>
        </is>
      </c>
      <c r="U3" s="3" t="inlineStr">
        <is>
          <t>data/responses/Q01_DSR1.json</t>
        </is>
      </c>
      <c r="V3" s="3" t="inlineStr"/>
    </row>
    <row r="4" ht="20" customHeight="1">
      <c r="A4" s="2" t="inlineStr">
        <is>
          <t>Q01_QWEN</t>
        </is>
      </c>
      <c r="B4" s="2" t="inlineStr">
        <is>
          <t>Q01</t>
        </is>
      </c>
      <c r="C4" s="3" t="inlineStr">
        <is>
          <t>qwen3:8b</t>
        </is>
      </c>
      <c r="D4" s="3" t="inlineStr">
        <is>
          <t>Mathematical reasoning</t>
        </is>
      </c>
      <c r="E4" s="2" t="inlineStr">
        <is>
          <t>Easy</t>
        </is>
      </c>
      <c r="F4" s="3">
        <f>'Question Bank &amp; Key'!D3</f>
        <v/>
      </c>
      <c r="G4" s="3" t="inlineStr"/>
      <c r="H4" s="2" t="n"/>
      <c r="I4" s="2" t="n"/>
      <c r="J4" s="2" t="n"/>
      <c r="K4" s="2" t="n"/>
      <c r="L4" s="2">
        <f>IF(COUNT(H4:K4)&gt;0, SUM(H4:K4), "")</f>
        <v/>
      </c>
      <c r="M4" s="2" t="n"/>
      <c r="N4" s="2" t="n"/>
      <c r="O4" s="2" t="n"/>
      <c r="P4" s="2" t="n"/>
      <c r="Q4" s="2">
        <f>IF(AND(ISNUMBER(N4), N4&gt;0, ISNUMBER(P4)), ROUND(P4/N4, 2), "")</f>
        <v/>
      </c>
      <c r="R4" s="2" t="n"/>
      <c r="S4" s="2" t="inlineStr">
        <is>
          <t>Completed</t>
        </is>
      </c>
      <c r="T4" s="2" t="inlineStr">
        <is>
          <t>Pending</t>
        </is>
      </c>
      <c r="U4" s="3" t="inlineStr">
        <is>
          <t>data/responses/Q01_QWEN.json</t>
        </is>
      </c>
      <c r="V4" s="3" t="inlineStr"/>
    </row>
    <row r="5" ht="20" customHeight="1">
      <c r="A5" s="2" t="inlineStr">
        <is>
          <t>Q02_PHI</t>
        </is>
      </c>
      <c r="B5" s="2" t="inlineStr">
        <is>
          <t>Q02</t>
        </is>
      </c>
      <c r="C5" s="3" t="inlineStr">
        <is>
          <t>phi4-mini-reasoning</t>
        </is>
      </c>
      <c r="D5" s="3" t="inlineStr">
        <is>
          <t>Mathematical reasoning</t>
        </is>
      </c>
      <c r="E5" s="2" t="inlineStr">
        <is>
          <t>Easy</t>
        </is>
      </c>
      <c r="F5" s="3">
        <f>'Question Bank &amp; Key'!D4</f>
        <v/>
      </c>
      <c r="G5" s="3" t="inlineStr"/>
      <c r="H5" s="2" t="n"/>
      <c r="I5" s="2" t="n"/>
      <c r="J5" s="2" t="n"/>
      <c r="K5" s="2" t="n"/>
      <c r="L5" s="2">
        <f>IF(COUNT(H5:K5)&gt;0, SUM(H5:K5), "")</f>
        <v/>
      </c>
      <c r="M5" s="2" t="n"/>
      <c r="N5" s="2" t="n"/>
      <c r="O5" s="2" t="n"/>
      <c r="P5" s="2" t="n"/>
      <c r="Q5" s="2">
        <f>IF(AND(ISNUMBER(N5), N5&gt;0, ISNUMBER(P5)), ROUND(P5/N5, 2), "")</f>
        <v/>
      </c>
      <c r="R5" s="2" t="n"/>
      <c r="S5" s="2" t="inlineStr">
        <is>
          <t>Completed</t>
        </is>
      </c>
      <c r="T5" s="2" t="inlineStr">
        <is>
          <t>Pending</t>
        </is>
      </c>
      <c r="U5" s="3" t="inlineStr">
        <is>
          <t>data/responses/Q02_PHI.json</t>
        </is>
      </c>
      <c r="V5" s="3" t="inlineStr"/>
    </row>
    <row r="6" ht="20" customHeight="1">
      <c r="A6" s="2" t="inlineStr">
        <is>
          <t>Q02_DSR1</t>
        </is>
      </c>
      <c r="B6" s="2" t="inlineStr">
        <is>
          <t>Q02</t>
        </is>
      </c>
      <c r="C6" s="3" t="inlineStr">
        <is>
          <t>deepseek-r1:7b</t>
        </is>
      </c>
      <c r="D6" s="3" t="inlineStr">
        <is>
          <t>Mathematical reasoning</t>
        </is>
      </c>
      <c r="E6" s="2" t="inlineStr">
        <is>
          <t>Easy</t>
        </is>
      </c>
      <c r="F6" s="3">
        <f>'Question Bank &amp; Key'!D4</f>
        <v/>
      </c>
      <c r="G6" s="3" t="inlineStr"/>
      <c r="H6" s="2" t="n"/>
      <c r="I6" s="2" t="n"/>
      <c r="J6" s="2" t="n"/>
      <c r="K6" s="2" t="n"/>
      <c r="L6" s="2">
        <f>IF(COUNT(H6:K6)&gt;0, SUM(H6:K6), "")</f>
        <v/>
      </c>
      <c r="M6" s="2" t="n"/>
      <c r="N6" s="2" t="n"/>
      <c r="O6" s="2" t="n"/>
      <c r="P6" s="2" t="n"/>
      <c r="Q6" s="2">
        <f>IF(AND(ISNUMBER(N6), N6&gt;0, ISNUMBER(P6)), ROUND(P6/N6, 2), "")</f>
        <v/>
      </c>
      <c r="R6" s="2" t="n"/>
      <c r="S6" s="2" t="inlineStr">
        <is>
          <t>Completed</t>
        </is>
      </c>
      <c r="T6" s="2" t="inlineStr">
        <is>
          <t>Pending</t>
        </is>
      </c>
      <c r="U6" s="3" t="inlineStr">
        <is>
          <t>data/responses/Q02_DSR1.json</t>
        </is>
      </c>
      <c r="V6" s="3" t="inlineStr"/>
    </row>
    <row r="7" ht="20" customHeight="1">
      <c r="A7" s="2" t="inlineStr">
        <is>
          <t>Q02_QWEN</t>
        </is>
      </c>
      <c r="B7" s="2" t="inlineStr">
        <is>
          <t>Q02</t>
        </is>
      </c>
      <c r="C7" s="3" t="inlineStr">
        <is>
          <t>qwen3:8b</t>
        </is>
      </c>
      <c r="D7" s="3" t="inlineStr">
        <is>
          <t>Mathematical reasoning</t>
        </is>
      </c>
      <c r="E7" s="2" t="inlineStr">
        <is>
          <t>Easy</t>
        </is>
      </c>
      <c r="F7" s="3">
        <f>'Question Bank &amp; Key'!D4</f>
        <v/>
      </c>
      <c r="G7" s="3" t="inlineStr"/>
      <c r="H7" s="2" t="n"/>
      <c r="I7" s="2" t="n"/>
      <c r="J7" s="2" t="n"/>
      <c r="K7" s="2" t="n"/>
      <c r="L7" s="2">
        <f>IF(COUNT(H7:K7)&gt;0, SUM(H7:K7), "")</f>
        <v/>
      </c>
      <c r="M7" s="2" t="n"/>
      <c r="N7" s="2" t="n"/>
      <c r="O7" s="2" t="n"/>
      <c r="P7" s="2" t="n"/>
      <c r="Q7" s="2">
        <f>IF(AND(ISNUMBER(N7), N7&gt;0, ISNUMBER(P7)), ROUND(P7/N7, 2), "")</f>
        <v/>
      </c>
      <c r="R7" s="2" t="n"/>
      <c r="S7" s="2" t="inlineStr">
        <is>
          <t>Completed</t>
        </is>
      </c>
      <c r="T7" s="2" t="inlineStr">
        <is>
          <t>Pending</t>
        </is>
      </c>
      <c r="U7" s="3" t="inlineStr">
        <is>
          <t>data/responses/Q02_QWEN.json</t>
        </is>
      </c>
      <c r="V7" s="3" t="inlineStr"/>
    </row>
    <row r="8" ht="20" customHeight="1">
      <c r="A8" s="2" t="inlineStr">
        <is>
          <t>Q03_PHI</t>
        </is>
      </c>
      <c r="B8" s="2" t="inlineStr">
        <is>
          <t>Q03</t>
        </is>
      </c>
      <c r="C8" s="3" t="inlineStr">
        <is>
          <t>phi4-mini-reasoning</t>
        </is>
      </c>
      <c r="D8" s="3" t="inlineStr">
        <is>
          <t>Mathematical reasoning</t>
        </is>
      </c>
      <c r="E8" s="2" t="inlineStr">
        <is>
          <t>Medium</t>
        </is>
      </c>
      <c r="F8" s="3">
        <f>'Question Bank &amp; Key'!D5</f>
        <v/>
      </c>
      <c r="G8" s="3" t="inlineStr"/>
      <c r="H8" s="2" t="n"/>
      <c r="I8" s="2" t="n"/>
      <c r="J8" s="2" t="n"/>
      <c r="K8" s="2" t="n"/>
      <c r="L8" s="2">
        <f>IF(COUNT(H8:K8)&gt;0, SUM(H8:K8), "")</f>
        <v/>
      </c>
      <c r="M8" s="2" t="n"/>
      <c r="N8" s="2" t="n"/>
      <c r="O8" s="2" t="n"/>
      <c r="P8" s="2" t="n"/>
      <c r="Q8" s="2">
        <f>IF(AND(ISNUMBER(N8), N8&gt;0, ISNUMBER(P8)), ROUND(P8/N8, 2), "")</f>
        <v/>
      </c>
      <c r="R8" s="2" t="n"/>
      <c r="S8" s="2" t="inlineStr">
        <is>
          <t>Completed</t>
        </is>
      </c>
      <c r="T8" s="2" t="inlineStr">
        <is>
          <t>Pending</t>
        </is>
      </c>
      <c r="U8" s="3" t="inlineStr">
        <is>
          <t>data/responses/Q03_PHI.json</t>
        </is>
      </c>
      <c r="V8" s="3" t="inlineStr"/>
    </row>
    <row r="9" ht="20" customHeight="1">
      <c r="A9" s="2" t="inlineStr">
        <is>
          <t>Q03_DSR1</t>
        </is>
      </c>
      <c r="B9" s="2" t="inlineStr">
        <is>
          <t>Q03</t>
        </is>
      </c>
      <c r="C9" s="3" t="inlineStr">
        <is>
          <t>deepseek-r1:7b</t>
        </is>
      </c>
      <c r="D9" s="3" t="inlineStr">
        <is>
          <t>Mathematical reasoning</t>
        </is>
      </c>
      <c r="E9" s="2" t="inlineStr">
        <is>
          <t>Medium</t>
        </is>
      </c>
      <c r="F9" s="3">
        <f>'Question Bank &amp; Key'!D5</f>
        <v/>
      </c>
      <c r="G9" s="3" t="inlineStr"/>
      <c r="H9" s="2" t="n"/>
      <c r="I9" s="2" t="n"/>
      <c r="J9" s="2" t="n"/>
      <c r="K9" s="2" t="n"/>
      <c r="L9" s="2">
        <f>IF(COUNT(H9:K9)&gt;0, SUM(H9:K9), "")</f>
        <v/>
      </c>
      <c r="M9" s="2" t="n"/>
      <c r="N9" s="2" t="n"/>
      <c r="O9" s="2" t="n"/>
      <c r="P9" s="2" t="n"/>
      <c r="Q9" s="2">
        <f>IF(AND(ISNUMBER(N9), N9&gt;0, ISNUMBER(P9)), ROUND(P9/N9, 2), "")</f>
        <v/>
      </c>
      <c r="R9" s="2" t="n"/>
      <c r="S9" s="2" t="inlineStr">
        <is>
          <t>Completed</t>
        </is>
      </c>
      <c r="T9" s="2" t="inlineStr">
        <is>
          <t>Pending</t>
        </is>
      </c>
      <c r="U9" s="3" t="inlineStr">
        <is>
          <t>data/responses/Q03_DSR1.json</t>
        </is>
      </c>
      <c r="V9" s="3" t="inlineStr"/>
    </row>
    <row r="10" ht="20" customHeight="1">
      <c r="A10" s="2" t="inlineStr">
        <is>
          <t>Q03_QWEN</t>
        </is>
      </c>
      <c r="B10" s="2" t="inlineStr">
        <is>
          <t>Q03</t>
        </is>
      </c>
      <c r="C10" s="3" t="inlineStr">
        <is>
          <t>qwen3:8b</t>
        </is>
      </c>
      <c r="D10" s="3" t="inlineStr">
        <is>
          <t>Mathematical reasoning</t>
        </is>
      </c>
      <c r="E10" s="2" t="inlineStr">
        <is>
          <t>Medium</t>
        </is>
      </c>
      <c r="F10" s="3">
        <f>'Question Bank &amp; Key'!D5</f>
        <v/>
      </c>
      <c r="G10" s="3" t="inlineStr"/>
      <c r="H10" s="2" t="n"/>
      <c r="I10" s="2" t="n"/>
      <c r="J10" s="2" t="n"/>
      <c r="K10" s="2" t="n"/>
      <c r="L10" s="2">
        <f>IF(COUNT(H10:K10)&gt;0, SUM(H10:K10), "")</f>
        <v/>
      </c>
      <c r="M10" s="2" t="n"/>
      <c r="N10" s="2" t="n"/>
      <c r="O10" s="2" t="n"/>
      <c r="P10" s="2" t="n"/>
      <c r="Q10" s="2">
        <f>IF(AND(ISNUMBER(N10), N10&gt;0, ISNUMBER(P10)), ROUND(P10/N10, 2), "")</f>
        <v/>
      </c>
      <c r="R10" s="2" t="n"/>
      <c r="S10" s="2" t="inlineStr">
        <is>
          <t>Completed</t>
        </is>
      </c>
      <c r="T10" s="2" t="inlineStr">
        <is>
          <t>Pending</t>
        </is>
      </c>
      <c r="U10" s="3" t="inlineStr">
        <is>
          <t>data/responses/Q03_QWEN.json</t>
        </is>
      </c>
      <c r="V10" s="3" t="inlineStr"/>
    </row>
    <row r="11" ht="20" customHeight="1">
      <c r="A11" s="2" t="inlineStr">
        <is>
          <t>Q04_PHI</t>
        </is>
      </c>
      <c r="B11" s="2" t="inlineStr">
        <is>
          <t>Q04</t>
        </is>
      </c>
      <c r="C11" s="3" t="inlineStr">
        <is>
          <t>phi4-mini-reasoning</t>
        </is>
      </c>
      <c r="D11" s="3" t="inlineStr">
        <is>
          <t>Mathematical reasoning</t>
        </is>
      </c>
      <c r="E11" s="2" t="inlineStr">
        <is>
          <t>Medium</t>
        </is>
      </c>
      <c r="F11" s="3">
        <f>'Question Bank &amp; Key'!D6</f>
        <v/>
      </c>
      <c r="G11" s="3" t="inlineStr"/>
      <c r="H11" s="2" t="n"/>
      <c r="I11" s="2" t="n"/>
      <c r="J11" s="2" t="n"/>
      <c r="K11" s="2" t="n"/>
      <c r="L11" s="2">
        <f>IF(COUNT(H11:K11)&gt;0, SUM(H11:K11), "")</f>
        <v/>
      </c>
      <c r="M11" s="2" t="n"/>
      <c r="N11" s="2" t="n"/>
      <c r="O11" s="2" t="n"/>
      <c r="P11" s="2" t="n"/>
      <c r="Q11" s="2">
        <f>IF(AND(ISNUMBER(N11), N11&gt;0, ISNUMBER(P11)), ROUND(P11/N11, 2), "")</f>
        <v/>
      </c>
      <c r="R11" s="2" t="n"/>
      <c r="S11" s="2" t="inlineStr">
        <is>
          <t>Completed</t>
        </is>
      </c>
      <c r="T11" s="2" t="inlineStr">
        <is>
          <t>Pending</t>
        </is>
      </c>
      <c r="U11" s="3" t="inlineStr">
        <is>
          <t>data/responses/Q04_PHI.json</t>
        </is>
      </c>
      <c r="V11" s="3" t="inlineStr"/>
    </row>
    <row r="12" ht="20" customHeight="1">
      <c r="A12" s="2" t="inlineStr">
        <is>
          <t>Q04_DSR1</t>
        </is>
      </c>
      <c r="B12" s="2" t="inlineStr">
        <is>
          <t>Q04</t>
        </is>
      </c>
      <c r="C12" s="3" t="inlineStr">
        <is>
          <t>deepseek-r1:7b</t>
        </is>
      </c>
      <c r="D12" s="3" t="inlineStr">
        <is>
          <t>Mathematical reasoning</t>
        </is>
      </c>
      <c r="E12" s="2" t="inlineStr">
        <is>
          <t>Medium</t>
        </is>
      </c>
      <c r="F12" s="3">
        <f>'Question Bank &amp; Key'!D6</f>
        <v/>
      </c>
      <c r="G12" s="3" t="inlineStr"/>
      <c r="H12" s="2" t="n"/>
      <c r="I12" s="2" t="n"/>
      <c r="J12" s="2" t="n"/>
      <c r="K12" s="2" t="n"/>
      <c r="L12" s="2">
        <f>IF(COUNT(H12:K12)&gt;0, SUM(H12:K12), "")</f>
        <v/>
      </c>
      <c r="M12" s="2" t="n"/>
      <c r="N12" s="2" t="n"/>
      <c r="O12" s="2" t="n"/>
      <c r="P12" s="2" t="n"/>
      <c r="Q12" s="2">
        <f>IF(AND(ISNUMBER(N12), N12&gt;0, ISNUMBER(P12)), ROUND(P12/N12, 2), "")</f>
        <v/>
      </c>
      <c r="R12" s="2" t="n"/>
      <c r="S12" s="2" t="inlineStr">
        <is>
          <t>Completed</t>
        </is>
      </c>
      <c r="T12" s="2" t="inlineStr">
        <is>
          <t>Pending</t>
        </is>
      </c>
      <c r="U12" s="3" t="inlineStr">
        <is>
          <t>data/responses/Q04_DSR1.json</t>
        </is>
      </c>
      <c r="V12" s="3" t="inlineStr"/>
    </row>
    <row r="13" ht="20" customHeight="1">
      <c r="A13" s="2" t="inlineStr">
        <is>
          <t>Q04_QWEN</t>
        </is>
      </c>
      <c r="B13" s="2" t="inlineStr">
        <is>
          <t>Q04</t>
        </is>
      </c>
      <c r="C13" s="3" t="inlineStr">
        <is>
          <t>qwen3:8b</t>
        </is>
      </c>
      <c r="D13" s="3" t="inlineStr">
        <is>
          <t>Mathematical reasoning</t>
        </is>
      </c>
      <c r="E13" s="2" t="inlineStr">
        <is>
          <t>Medium</t>
        </is>
      </c>
      <c r="F13" s="3">
        <f>'Question Bank &amp; Key'!D6</f>
        <v/>
      </c>
      <c r="G13" s="3" t="inlineStr"/>
      <c r="H13" s="2" t="n"/>
      <c r="I13" s="2" t="n"/>
      <c r="J13" s="2" t="n"/>
      <c r="K13" s="2" t="n"/>
      <c r="L13" s="2">
        <f>IF(COUNT(H13:K13)&gt;0, SUM(H13:K13), "")</f>
        <v/>
      </c>
      <c r="M13" s="2" t="n"/>
      <c r="N13" s="2" t="n"/>
      <c r="O13" s="2" t="n"/>
      <c r="P13" s="2" t="n"/>
      <c r="Q13" s="2">
        <f>IF(AND(ISNUMBER(N13), N13&gt;0, ISNUMBER(P13)), ROUND(P13/N13, 2), "")</f>
        <v/>
      </c>
      <c r="R13" s="2" t="n"/>
      <c r="S13" s="2" t="inlineStr">
        <is>
          <t>Completed</t>
        </is>
      </c>
      <c r="T13" s="2" t="inlineStr">
        <is>
          <t>Pending</t>
        </is>
      </c>
      <c r="U13" s="3" t="inlineStr">
        <is>
          <t>data/responses/Q04_QWEN.json</t>
        </is>
      </c>
      <c r="V13" s="3" t="inlineStr"/>
    </row>
    <row r="14" ht="20" customHeight="1">
      <c r="A14" s="2" t="inlineStr">
        <is>
          <t>Q05_PHI</t>
        </is>
      </c>
      <c r="B14" s="2" t="inlineStr">
        <is>
          <t>Q05</t>
        </is>
      </c>
      <c r="C14" s="3" t="inlineStr">
        <is>
          <t>phi4-mini-reasoning</t>
        </is>
      </c>
      <c r="D14" s="3" t="inlineStr">
        <is>
          <t>Mathematical reasoning</t>
        </is>
      </c>
      <c r="E14" s="2" t="inlineStr">
        <is>
          <t>Hard</t>
        </is>
      </c>
      <c r="F14" s="3">
        <f>'Question Bank &amp; Key'!D7</f>
        <v/>
      </c>
      <c r="G14" s="3" t="inlineStr"/>
      <c r="H14" s="2" t="n"/>
      <c r="I14" s="2" t="n"/>
      <c r="J14" s="2" t="n"/>
      <c r="K14" s="2" t="n"/>
      <c r="L14" s="2">
        <f>IF(COUNT(H14:K14)&gt;0, SUM(H14:K14), "")</f>
        <v/>
      </c>
      <c r="M14" s="2" t="n"/>
      <c r="N14" s="2" t="n"/>
      <c r="O14" s="2" t="n"/>
      <c r="P14" s="2" t="n"/>
      <c r="Q14" s="2">
        <f>IF(AND(ISNUMBER(N14), N14&gt;0, ISNUMBER(P14)), ROUND(P14/N14, 2), "")</f>
        <v/>
      </c>
      <c r="R14" s="2" t="n"/>
      <c r="S14" s="2" t="inlineStr">
        <is>
          <t>Completed</t>
        </is>
      </c>
      <c r="T14" s="2" t="inlineStr">
        <is>
          <t>Pending</t>
        </is>
      </c>
      <c r="U14" s="3" t="inlineStr">
        <is>
          <t>data/responses/Q05_PHI.json</t>
        </is>
      </c>
      <c r="V14" s="3" t="inlineStr"/>
    </row>
    <row r="15" ht="20" customHeight="1">
      <c r="A15" s="2" t="inlineStr">
        <is>
          <t>Q05_DSR1</t>
        </is>
      </c>
      <c r="B15" s="2" t="inlineStr">
        <is>
          <t>Q05</t>
        </is>
      </c>
      <c r="C15" s="3" t="inlineStr">
        <is>
          <t>deepseek-r1:7b</t>
        </is>
      </c>
      <c r="D15" s="3" t="inlineStr">
        <is>
          <t>Mathematical reasoning</t>
        </is>
      </c>
      <c r="E15" s="2" t="inlineStr">
        <is>
          <t>Hard</t>
        </is>
      </c>
      <c r="F15" s="3">
        <f>'Question Bank &amp; Key'!D7</f>
        <v/>
      </c>
      <c r="G15" s="3" t="inlineStr"/>
      <c r="H15" s="2" t="n"/>
      <c r="I15" s="2" t="n"/>
      <c r="J15" s="2" t="n"/>
      <c r="K15" s="2" t="n"/>
      <c r="L15" s="2">
        <f>IF(COUNT(H15:K15)&gt;0, SUM(H15:K15), "")</f>
        <v/>
      </c>
      <c r="M15" s="2" t="n"/>
      <c r="N15" s="2" t="n"/>
      <c r="O15" s="2" t="n"/>
      <c r="P15" s="2" t="n"/>
      <c r="Q15" s="2">
        <f>IF(AND(ISNUMBER(N15), N15&gt;0, ISNUMBER(P15)), ROUND(P15/N15, 2), "")</f>
        <v/>
      </c>
      <c r="R15" s="2" t="n"/>
      <c r="S15" s="2" t="inlineStr">
        <is>
          <t>Completed</t>
        </is>
      </c>
      <c r="T15" s="2" t="inlineStr">
        <is>
          <t>Pending</t>
        </is>
      </c>
      <c r="U15" s="3" t="inlineStr">
        <is>
          <t>data/responses/Q05_DSR1.json</t>
        </is>
      </c>
      <c r="V15" s="3" t="inlineStr"/>
    </row>
    <row r="16" ht="20" customHeight="1">
      <c r="A16" s="2" t="inlineStr">
        <is>
          <t>Q05_QWEN</t>
        </is>
      </c>
      <c r="B16" s="2" t="inlineStr">
        <is>
          <t>Q05</t>
        </is>
      </c>
      <c r="C16" s="3" t="inlineStr">
        <is>
          <t>qwen3:8b</t>
        </is>
      </c>
      <c r="D16" s="3" t="inlineStr">
        <is>
          <t>Mathematical reasoning</t>
        </is>
      </c>
      <c r="E16" s="2" t="inlineStr">
        <is>
          <t>Hard</t>
        </is>
      </c>
      <c r="F16" s="3">
        <f>'Question Bank &amp; Key'!D7</f>
        <v/>
      </c>
      <c r="G16" s="3" t="inlineStr"/>
      <c r="H16" s="2" t="n"/>
      <c r="I16" s="2" t="n"/>
      <c r="J16" s="2" t="n"/>
      <c r="K16" s="2" t="n"/>
      <c r="L16" s="2">
        <f>IF(COUNT(H16:K16)&gt;0, SUM(H16:K16), "")</f>
        <v/>
      </c>
      <c r="M16" s="2" t="n"/>
      <c r="N16" s="2" t="n"/>
      <c r="O16" s="2" t="n"/>
      <c r="P16" s="2" t="n"/>
      <c r="Q16" s="2">
        <f>IF(AND(ISNUMBER(N16), N16&gt;0, ISNUMBER(P16)), ROUND(P16/N16, 2), "")</f>
        <v/>
      </c>
      <c r="R16" s="2" t="n"/>
      <c r="S16" s="2" t="inlineStr">
        <is>
          <t>Completed</t>
        </is>
      </c>
      <c r="T16" s="2" t="inlineStr">
        <is>
          <t>Pending</t>
        </is>
      </c>
      <c r="U16" s="3" t="inlineStr">
        <is>
          <t>data/responses/Q05_QWEN.json</t>
        </is>
      </c>
      <c r="V16" s="3" t="inlineStr"/>
    </row>
    <row r="17" ht="20" customHeight="1">
      <c r="A17" s="2" t="inlineStr">
        <is>
          <t>Q06_PHI</t>
        </is>
      </c>
      <c r="B17" s="2" t="inlineStr">
        <is>
          <t>Q06</t>
        </is>
      </c>
      <c r="C17" s="3" t="inlineStr">
        <is>
          <t>phi4-mini-reasoning</t>
        </is>
      </c>
      <c r="D17" s="3" t="inlineStr">
        <is>
          <t>Logical reasoning</t>
        </is>
      </c>
      <c r="E17" s="2" t="inlineStr">
        <is>
          <t>Easy</t>
        </is>
      </c>
      <c r="F17" s="3">
        <f>'Question Bank &amp; Key'!D8</f>
        <v/>
      </c>
      <c r="G17" s="3" t="inlineStr"/>
      <c r="H17" s="2" t="n"/>
      <c r="I17" s="2" t="n"/>
      <c r="J17" s="2" t="n"/>
      <c r="K17" s="2" t="n"/>
      <c r="L17" s="2">
        <f>IF(COUNT(H17:K17)&gt;0, SUM(H17:K17), "")</f>
        <v/>
      </c>
      <c r="M17" s="2" t="n"/>
      <c r="N17" s="2" t="n"/>
      <c r="O17" s="2" t="n"/>
      <c r="P17" s="2" t="n"/>
      <c r="Q17" s="2">
        <f>IF(AND(ISNUMBER(N17), N17&gt;0, ISNUMBER(P17)), ROUND(P17/N17, 2), "")</f>
        <v/>
      </c>
      <c r="R17" s="2" t="n"/>
      <c r="S17" s="2" t="inlineStr">
        <is>
          <t>Completed</t>
        </is>
      </c>
      <c r="T17" s="2" t="inlineStr">
        <is>
          <t>Pending</t>
        </is>
      </c>
      <c r="U17" s="3" t="inlineStr">
        <is>
          <t>data/responses/Q06_PHI.json</t>
        </is>
      </c>
      <c r="V17" s="3" t="inlineStr"/>
    </row>
    <row r="18" ht="20" customHeight="1">
      <c r="A18" s="2" t="inlineStr">
        <is>
          <t>Q06_DSR1</t>
        </is>
      </c>
      <c r="B18" s="2" t="inlineStr">
        <is>
          <t>Q06</t>
        </is>
      </c>
      <c r="C18" s="3" t="inlineStr">
        <is>
          <t>deepseek-r1:7b</t>
        </is>
      </c>
      <c r="D18" s="3" t="inlineStr">
        <is>
          <t>Logical reasoning</t>
        </is>
      </c>
      <c r="E18" s="2" t="inlineStr">
        <is>
          <t>Easy</t>
        </is>
      </c>
      <c r="F18" s="3">
        <f>'Question Bank &amp; Key'!D8</f>
        <v/>
      </c>
      <c r="G18" s="3" t="inlineStr"/>
      <c r="H18" s="2" t="n"/>
      <c r="I18" s="2" t="n"/>
      <c r="J18" s="2" t="n"/>
      <c r="K18" s="2" t="n"/>
      <c r="L18" s="2">
        <f>IF(COUNT(H18:K18)&gt;0, SUM(H18:K18), "")</f>
        <v/>
      </c>
      <c r="M18" s="2" t="n"/>
      <c r="N18" s="2" t="n"/>
      <c r="O18" s="2" t="n"/>
      <c r="P18" s="2" t="n"/>
      <c r="Q18" s="2">
        <f>IF(AND(ISNUMBER(N18), N18&gt;0, ISNUMBER(P18)), ROUND(P18/N18, 2), "")</f>
        <v/>
      </c>
      <c r="R18" s="2" t="n"/>
      <c r="S18" s="2" t="inlineStr">
        <is>
          <t>Completed</t>
        </is>
      </c>
      <c r="T18" s="2" t="inlineStr">
        <is>
          <t>Pending</t>
        </is>
      </c>
      <c r="U18" s="3" t="inlineStr">
        <is>
          <t>data/responses/Q06_DSR1.json</t>
        </is>
      </c>
      <c r="V18" s="3" t="inlineStr"/>
    </row>
    <row r="19" ht="20" customHeight="1">
      <c r="A19" s="2" t="inlineStr">
        <is>
          <t>Q06_QWEN</t>
        </is>
      </c>
      <c r="B19" s="2" t="inlineStr">
        <is>
          <t>Q06</t>
        </is>
      </c>
      <c r="C19" s="3" t="inlineStr">
        <is>
          <t>qwen3:8b</t>
        </is>
      </c>
      <c r="D19" s="3" t="inlineStr">
        <is>
          <t>Logical reasoning</t>
        </is>
      </c>
      <c r="E19" s="2" t="inlineStr">
        <is>
          <t>Easy</t>
        </is>
      </c>
      <c r="F19" s="3">
        <f>'Question Bank &amp; Key'!D8</f>
        <v/>
      </c>
      <c r="G19" s="3" t="inlineStr"/>
      <c r="H19" s="2" t="n"/>
      <c r="I19" s="2" t="n"/>
      <c r="J19" s="2" t="n"/>
      <c r="K19" s="2" t="n"/>
      <c r="L19" s="2">
        <f>IF(COUNT(H19:K19)&gt;0, SUM(H19:K19), "")</f>
        <v/>
      </c>
      <c r="M19" s="2" t="n"/>
      <c r="N19" s="2" t="n"/>
      <c r="O19" s="2" t="n"/>
      <c r="P19" s="2" t="n"/>
      <c r="Q19" s="2">
        <f>IF(AND(ISNUMBER(N19), N19&gt;0, ISNUMBER(P19)), ROUND(P19/N19, 2), "")</f>
        <v/>
      </c>
      <c r="R19" s="2" t="n"/>
      <c r="S19" s="2" t="inlineStr">
        <is>
          <t>Completed</t>
        </is>
      </c>
      <c r="T19" s="2" t="inlineStr">
        <is>
          <t>Pending</t>
        </is>
      </c>
      <c r="U19" s="3" t="inlineStr">
        <is>
          <t>data/responses/Q06_QWEN.json</t>
        </is>
      </c>
      <c r="V19" s="3" t="inlineStr"/>
    </row>
    <row r="20" ht="20" customHeight="1">
      <c r="A20" s="2" t="inlineStr">
        <is>
          <t>Q07_PHI</t>
        </is>
      </c>
      <c r="B20" s="2" t="inlineStr">
        <is>
          <t>Q07</t>
        </is>
      </c>
      <c r="C20" s="3" t="inlineStr">
        <is>
          <t>phi4-mini-reasoning</t>
        </is>
      </c>
      <c r="D20" s="3" t="inlineStr">
        <is>
          <t>Logical reasoning</t>
        </is>
      </c>
      <c r="E20" s="2" t="inlineStr">
        <is>
          <t>Easy</t>
        </is>
      </c>
      <c r="F20" s="3">
        <f>'Question Bank &amp; Key'!D9</f>
        <v/>
      </c>
      <c r="G20" s="3" t="inlineStr"/>
      <c r="H20" s="2" t="n"/>
      <c r="I20" s="2" t="n"/>
      <c r="J20" s="2" t="n"/>
      <c r="K20" s="2" t="n"/>
      <c r="L20" s="2">
        <f>IF(COUNT(H20:K20)&gt;0, SUM(H20:K20), "")</f>
        <v/>
      </c>
      <c r="M20" s="2" t="n"/>
      <c r="N20" s="2" t="n"/>
      <c r="O20" s="2" t="n"/>
      <c r="P20" s="2" t="n"/>
      <c r="Q20" s="2">
        <f>IF(AND(ISNUMBER(N20), N20&gt;0, ISNUMBER(P20)), ROUND(P20/N20, 2), "")</f>
        <v/>
      </c>
      <c r="R20" s="2" t="n"/>
      <c r="S20" s="2" t="inlineStr">
        <is>
          <t>Completed</t>
        </is>
      </c>
      <c r="T20" s="2" t="inlineStr">
        <is>
          <t>Pending</t>
        </is>
      </c>
      <c r="U20" s="3" t="inlineStr">
        <is>
          <t>data/responses/Q07_PHI.json</t>
        </is>
      </c>
      <c r="V20" s="3" t="inlineStr"/>
    </row>
    <row r="21" ht="20" customHeight="1">
      <c r="A21" s="2" t="inlineStr">
        <is>
          <t>Q07_DSR1</t>
        </is>
      </c>
      <c r="B21" s="2" t="inlineStr">
        <is>
          <t>Q07</t>
        </is>
      </c>
      <c r="C21" s="3" t="inlineStr">
        <is>
          <t>deepseek-r1:7b</t>
        </is>
      </c>
      <c r="D21" s="3" t="inlineStr">
        <is>
          <t>Logical reasoning</t>
        </is>
      </c>
      <c r="E21" s="2" t="inlineStr">
        <is>
          <t>Easy</t>
        </is>
      </c>
      <c r="F21" s="3">
        <f>'Question Bank &amp; Key'!D9</f>
        <v/>
      </c>
      <c r="G21" s="3" t="inlineStr"/>
      <c r="H21" s="2" t="n"/>
      <c r="I21" s="2" t="n"/>
      <c r="J21" s="2" t="n"/>
      <c r="K21" s="2" t="n"/>
      <c r="L21" s="2">
        <f>IF(COUNT(H21:K21)&gt;0, SUM(H21:K21), "")</f>
        <v/>
      </c>
      <c r="M21" s="2" t="n"/>
      <c r="N21" s="2" t="n"/>
      <c r="O21" s="2" t="n"/>
      <c r="P21" s="2" t="n"/>
      <c r="Q21" s="2">
        <f>IF(AND(ISNUMBER(N21), N21&gt;0, ISNUMBER(P21)), ROUND(P21/N21, 2), "")</f>
        <v/>
      </c>
      <c r="R21" s="2" t="n"/>
      <c r="S21" s="2" t="inlineStr">
        <is>
          <t>Completed</t>
        </is>
      </c>
      <c r="T21" s="2" t="inlineStr">
        <is>
          <t>Pending</t>
        </is>
      </c>
      <c r="U21" s="3" t="inlineStr">
        <is>
          <t>data/responses/Q07_DSR1.json</t>
        </is>
      </c>
      <c r="V21" s="3" t="inlineStr"/>
    </row>
    <row r="22" ht="20" customHeight="1">
      <c r="A22" s="2" t="inlineStr">
        <is>
          <t>Q07_QWEN</t>
        </is>
      </c>
      <c r="B22" s="2" t="inlineStr">
        <is>
          <t>Q07</t>
        </is>
      </c>
      <c r="C22" s="3" t="inlineStr">
        <is>
          <t>qwen3:8b</t>
        </is>
      </c>
      <c r="D22" s="3" t="inlineStr">
        <is>
          <t>Logical reasoning</t>
        </is>
      </c>
      <c r="E22" s="2" t="inlineStr">
        <is>
          <t>Easy</t>
        </is>
      </c>
      <c r="F22" s="3">
        <f>'Question Bank &amp; Key'!D9</f>
        <v/>
      </c>
      <c r="G22" s="3" t="inlineStr"/>
      <c r="H22" s="2" t="n"/>
      <c r="I22" s="2" t="n"/>
      <c r="J22" s="2" t="n"/>
      <c r="K22" s="2" t="n"/>
      <c r="L22" s="2">
        <f>IF(COUNT(H22:K22)&gt;0, SUM(H22:K22), "")</f>
        <v/>
      </c>
      <c r="M22" s="2" t="n"/>
      <c r="N22" s="2" t="n"/>
      <c r="O22" s="2" t="n"/>
      <c r="P22" s="2" t="n"/>
      <c r="Q22" s="2">
        <f>IF(AND(ISNUMBER(N22), N22&gt;0, ISNUMBER(P22)), ROUND(P22/N22, 2), "")</f>
        <v/>
      </c>
      <c r="R22" s="2" t="n"/>
      <c r="S22" s="2" t="inlineStr">
        <is>
          <t>Completed</t>
        </is>
      </c>
      <c r="T22" s="2" t="inlineStr">
        <is>
          <t>Pending</t>
        </is>
      </c>
      <c r="U22" s="3" t="inlineStr">
        <is>
          <t>data/responses/Q07_QWEN.json</t>
        </is>
      </c>
      <c r="V22" s="3" t="inlineStr"/>
    </row>
    <row r="23" ht="20" customHeight="1">
      <c r="A23" s="2" t="inlineStr">
        <is>
          <t>Q08_PHI</t>
        </is>
      </c>
      <c r="B23" s="2" t="inlineStr">
        <is>
          <t>Q08</t>
        </is>
      </c>
      <c r="C23" s="3" t="inlineStr">
        <is>
          <t>phi4-mini-reasoning</t>
        </is>
      </c>
      <c r="D23" s="3" t="inlineStr">
        <is>
          <t>Logical reasoning</t>
        </is>
      </c>
      <c r="E23" s="2" t="inlineStr">
        <is>
          <t>Medium</t>
        </is>
      </c>
      <c r="F23" s="3">
        <f>'Question Bank &amp; Key'!D10</f>
        <v/>
      </c>
      <c r="G23" s="3" t="inlineStr"/>
      <c r="H23" s="2" t="n"/>
      <c r="I23" s="2" t="n"/>
      <c r="J23" s="2" t="n"/>
      <c r="K23" s="2" t="n"/>
      <c r="L23" s="2">
        <f>IF(COUNT(H23:K23)&gt;0, SUM(H23:K23), "")</f>
        <v/>
      </c>
      <c r="M23" s="2" t="n"/>
      <c r="N23" s="2" t="n"/>
      <c r="O23" s="2" t="n"/>
      <c r="P23" s="2" t="n"/>
      <c r="Q23" s="2">
        <f>IF(AND(ISNUMBER(N23), N23&gt;0, ISNUMBER(P23)), ROUND(P23/N23, 2), "")</f>
        <v/>
      </c>
      <c r="R23" s="2" t="n"/>
      <c r="S23" s="2" t="inlineStr">
        <is>
          <t>Completed</t>
        </is>
      </c>
      <c r="T23" s="2" t="inlineStr">
        <is>
          <t>Pending</t>
        </is>
      </c>
      <c r="U23" s="3" t="inlineStr">
        <is>
          <t>data/responses/Q08_PHI.json</t>
        </is>
      </c>
      <c r="V23" s="3" t="inlineStr"/>
    </row>
    <row r="24" ht="20" customHeight="1">
      <c r="A24" s="2" t="inlineStr">
        <is>
          <t>Q08_DSR1</t>
        </is>
      </c>
      <c r="B24" s="2" t="inlineStr">
        <is>
          <t>Q08</t>
        </is>
      </c>
      <c r="C24" s="3" t="inlineStr">
        <is>
          <t>deepseek-r1:7b</t>
        </is>
      </c>
      <c r="D24" s="3" t="inlineStr">
        <is>
          <t>Logical reasoning</t>
        </is>
      </c>
      <c r="E24" s="2" t="inlineStr">
        <is>
          <t>Medium</t>
        </is>
      </c>
      <c r="F24" s="3">
        <f>'Question Bank &amp; Key'!D10</f>
        <v/>
      </c>
      <c r="G24" s="3" t="inlineStr"/>
      <c r="H24" s="2" t="n"/>
      <c r="I24" s="2" t="n"/>
      <c r="J24" s="2" t="n"/>
      <c r="K24" s="2" t="n"/>
      <c r="L24" s="2">
        <f>IF(COUNT(H24:K24)&gt;0, SUM(H24:K24), "")</f>
        <v/>
      </c>
      <c r="M24" s="2" t="n"/>
      <c r="N24" s="2" t="n"/>
      <c r="O24" s="2" t="n"/>
      <c r="P24" s="2" t="n"/>
      <c r="Q24" s="2">
        <f>IF(AND(ISNUMBER(N24), N24&gt;0, ISNUMBER(P24)), ROUND(P24/N24, 2), "")</f>
        <v/>
      </c>
      <c r="R24" s="2" t="n"/>
      <c r="S24" s="2" t="inlineStr">
        <is>
          <t>Completed</t>
        </is>
      </c>
      <c r="T24" s="2" t="inlineStr">
        <is>
          <t>Pending</t>
        </is>
      </c>
      <c r="U24" s="3" t="inlineStr">
        <is>
          <t>data/responses/Q08_DSR1.json</t>
        </is>
      </c>
      <c r="V24" s="3" t="inlineStr"/>
    </row>
    <row r="25" ht="20" customHeight="1">
      <c r="A25" s="2" t="inlineStr">
        <is>
          <t>Q08_QWEN</t>
        </is>
      </c>
      <c r="B25" s="2" t="inlineStr">
        <is>
          <t>Q08</t>
        </is>
      </c>
      <c r="C25" s="3" t="inlineStr">
        <is>
          <t>qwen3:8b</t>
        </is>
      </c>
      <c r="D25" s="3" t="inlineStr">
        <is>
          <t>Logical reasoning</t>
        </is>
      </c>
      <c r="E25" s="2" t="inlineStr">
        <is>
          <t>Medium</t>
        </is>
      </c>
      <c r="F25" s="3">
        <f>'Question Bank &amp; Key'!D10</f>
        <v/>
      </c>
      <c r="G25" s="3" t="inlineStr"/>
      <c r="H25" s="2" t="n"/>
      <c r="I25" s="2" t="n"/>
      <c r="J25" s="2" t="n"/>
      <c r="K25" s="2" t="n"/>
      <c r="L25" s="2">
        <f>IF(COUNT(H25:K25)&gt;0, SUM(H25:K25), "")</f>
        <v/>
      </c>
      <c r="M25" s="2" t="n"/>
      <c r="N25" s="2" t="n"/>
      <c r="O25" s="2" t="n"/>
      <c r="P25" s="2" t="n"/>
      <c r="Q25" s="2">
        <f>IF(AND(ISNUMBER(N25), N25&gt;0, ISNUMBER(P25)), ROUND(P25/N25, 2), "")</f>
        <v/>
      </c>
      <c r="R25" s="2" t="n"/>
      <c r="S25" s="2" t="inlineStr">
        <is>
          <t>Completed</t>
        </is>
      </c>
      <c r="T25" s="2" t="inlineStr">
        <is>
          <t>Pending</t>
        </is>
      </c>
      <c r="U25" s="3" t="inlineStr">
        <is>
          <t>data/responses/Q08_QWEN.json</t>
        </is>
      </c>
      <c r="V25" s="3" t="inlineStr"/>
    </row>
    <row r="26" ht="20" customHeight="1">
      <c r="A26" s="2" t="inlineStr">
        <is>
          <t>Q09_PHI</t>
        </is>
      </c>
      <c r="B26" s="2" t="inlineStr">
        <is>
          <t>Q09</t>
        </is>
      </c>
      <c r="C26" s="3" t="inlineStr">
        <is>
          <t>phi4-mini-reasoning</t>
        </is>
      </c>
      <c r="D26" s="3" t="inlineStr">
        <is>
          <t>Logical reasoning</t>
        </is>
      </c>
      <c r="E26" s="2" t="inlineStr">
        <is>
          <t>Medium</t>
        </is>
      </c>
      <c r="F26" s="3">
        <f>'Question Bank &amp; Key'!D11</f>
        <v/>
      </c>
      <c r="G26" s="3" t="inlineStr"/>
      <c r="H26" s="2" t="n"/>
      <c r="I26" s="2" t="n"/>
      <c r="J26" s="2" t="n"/>
      <c r="K26" s="2" t="n"/>
      <c r="L26" s="2">
        <f>IF(COUNT(H26:K26)&gt;0, SUM(H26:K26), "")</f>
        <v/>
      </c>
      <c r="M26" s="2" t="n"/>
      <c r="N26" s="2" t="n"/>
      <c r="O26" s="2" t="n"/>
      <c r="P26" s="2" t="n"/>
      <c r="Q26" s="2">
        <f>IF(AND(ISNUMBER(N26), N26&gt;0, ISNUMBER(P26)), ROUND(P26/N26, 2), "")</f>
        <v/>
      </c>
      <c r="R26" s="2" t="n"/>
      <c r="S26" s="2" t="inlineStr">
        <is>
          <t>Completed</t>
        </is>
      </c>
      <c r="T26" s="2" t="inlineStr">
        <is>
          <t>Pending</t>
        </is>
      </c>
      <c r="U26" s="3" t="inlineStr">
        <is>
          <t>data/responses/Q09_PHI.json</t>
        </is>
      </c>
      <c r="V26" s="3" t="inlineStr"/>
    </row>
    <row r="27" ht="20" customHeight="1">
      <c r="A27" s="2" t="inlineStr">
        <is>
          <t>Q09_DSR1</t>
        </is>
      </c>
      <c r="B27" s="2" t="inlineStr">
        <is>
          <t>Q09</t>
        </is>
      </c>
      <c r="C27" s="3" t="inlineStr">
        <is>
          <t>deepseek-r1:7b</t>
        </is>
      </c>
      <c r="D27" s="3" t="inlineStr">
        <is>
          <t>Logical reasoning</t>
        </is>
      </c>
      <c r="E27" s="2" t="inlineStr">
        <is>
          <t>Medium</t>
        </is>
      </c>
      <c r="F27" s="3">
        <f>'Question Bank &amp; Key'!D11</f>
        <v/>
      </c>
      <c r="G27" s="3" t="inlineStr"/>
      <c r="H27" s="2" t="n"/>
      <c r="I27" s="2" t="n"/>
      <c r="J27" s="2" t="n"/>
      <c r="K27" s="2" t="n"/>
      <c r="L27" s="2">
        <f>IF(COUNT(H27:K27)&gt;0, SUM(H27:K27), "")</f>
        <v/>
      </c>
      <c r="M27" s="2" t="n"/>
      <c r="N27" s="2" t="n"/>
      <c r="O27" s="2" t="n"/>
      <c r="P27" s="2" t="n"/>
      <c r="Q27" s="2">
        <f>IF(AND(ISNUMBER(N27), N27&gt;0, ISNUMBER(P27)), ROUND(P27/N27, 2), "")</f>
        <v/>
      </c>
      <c r="R27" s="2" t="n"/>
      <c r="S27" s="2" t="inlineStr">
        <is>
          <t>Completed</t>
        </is>
      </c>
      <c r="T27" s="2" t="inlineStr">
        <is>
          <t>Pending</t>
        </is>
      </c>
      <c r="U27" s="3" t="inlineStr">
        <is>
          <t>data/responses/Q09_DSR1.json</t>
        </is>
      </c>
      <c r="V27" s="3" t="inlineStr"/>
    </row>
    <row r="28" ht="20" customHeight="1">
      <c r="A28" s="2" t="inlineStr">
        <is>
          <t>Q09_QWEN</t>
        </is>
      </c>
      <c r="B28" s="2" t="inlineStr">
        <is>
          <t>Q09</t>
        </is>
      </c>
      <c r="C28" s="3" t="inlineStr">
        <is>
          <t>qwen3:8b</t>
        </is>
      </c>
      <c r="D28" s="3" t="inlineStr">
        <is>
          <t>Logical reasoning</t>
        </is>
      </c>
      <c r="E28" s="2" t="inlineStr">
        <is>
          <t>Medium</t>
        </is>
      </c>
      <c r="F28" s="3">
        <f>'Question Bank &amp; Key'!D11</f>
        <v/>
      </c>
      <c r="G28" s="3" t="inlineStr"/>
      <c r="H28" s="2" t="n"/>
      <c r="I28" s="2" t="n"/>
      <c r="J28" s="2" t="n"/>
      <c r="K28" s="2" t="n"/>
      <c r="L28" s="2">
        <f>IF(COUNT(H28:K28)&gt;0, SUM(H28:K28), "")</f>
        <v/>
      </c>
      <c r="M28" s="2" t="n"/>
      <c r="N28" s="2" t="n"/>
      <c r="O28" s="2" t="n"/>
      <c r="P28" s="2" t="n"/>
      <c r="Q28" s="2">
        <f>IF(AND(ISNUMBER(N28), N28&gt;0, ISNUMBER(P28)), ROUND(P28/N28, 2), "")</f>
        <v/>
      </c>
      <c r="R28" s="2" t="n"/>
      <c r="S28" s="2" t="inlineStr">
        <is>
          <t>Completed</t>
        </is>
      </c>
      <c r="T28" s="2" t="inlineStr">
        <is>
          <t>Pending</t>
        </is>
      </c>
      <c r="U28" s="3" t="inlineStr">
        <is>
          <t>data/responses/Q09_QWEN.json</t>
        </is>
      </c>
      <c r="V28" s="3" t="inlineStr"/>
    </row>
    <row r="29" ht="20" customHeight="1">
      <c r="A29" s="2" t="inlineStr">
        <is>
          <t>Q10_PHI</t>
        </is>
      </c>
      <c r="B29" s="2" t="inlineStr">
        <is>
          <t>Q10</t>
        </is>
      </c>
      <c r="C29" s="3" t="inlineStr">
        <is>
          <t>phi4-mini-reasoning</t>
        </is>
      </c>
      <c r="D29" s="3" t="inlineStr">
        <is>
          <t>Logical reasoning</t>
        </is>
      </c>
      <c r="E29" s="2" t="inlineStr">
        <is>
          <t>Hard</t>
        </is>
      </c>
      <c r="F29" s="3">
        <f>'Question Bank &amp; Key'!D12</f>
        <v/>
      </c>
      <c r="G29" s="3" t="inlineStr"/>
      <c r="H29" s="2" t="n"/>
      <c r="I29" s="2" t="n"/>
      <c r="J29" s="2" t="n"/>
      <c r="K29" s="2" t="n"/>
      <c r="L29" s="2">
        <f>IF(COUNT(H29:K29)&gt;0, SUM(H29:K29), "")</f>
        <v/>
      </c>
      <c r="M29" s="2" t="n"/>
      <c r="N29" s="2" t="n"/>
      <c r="O29" s="2" t="n"/>
      <c r="P29" s="2" t="n"/>
      <c r="Q29" s="2">
        <f>IF(AND(ISNUMBER(N29), N29&gt;0, ISNUMBER(P29)), ROUND(P29/N29, 2), "")</f>
        <v/>
      </c>
      <c r="R29" s="2" t="n"/>
      <c r="S29" s="2" t="inlineStr">
        <is>
          <t>Completed</t>
        </is>
      </c>
      <c r="T29" s="2" t="inlineStr">
        <is>
          <t>Pending</t>
        </is>
      </c>
      <c r="U29" s="3" t="inlineStr">
        <is>
          <t>data/responses/Q10_PHI.json</t>
        </is>
      </c>
      <c r="V29" s="3" t="inlineStr"/>
    </row>
    <row r="30" ht="20" customHeight="1">
      <c r="A30" s="2" t="inlineStr">
        <is>
          <t>Q10_DSR1</t>
        </is>
      </c>
      <c r="B30" s="2" t="inlineStr">
        <is>
          <t>Q10</t>
        </is>
      </c>
      <c r="C30" s="3" t="inlineStr">
        <is>
          <t>deepseek-r1:7b</t>
        </is>
      </c>
      <c r="D30" s="3" t="inlineStr">
        <is>
          <t>Logical reasoning</t>
        </is>
      </c>
      <c r="E30" s="2" t="inlineStr">
        <is>
          <t>Hard</t>
        </is>
      </c>
      <c r="F30" s="3">
        <f>'Question Bank &amp; Key'!D12</f>
        <v/>
      </c>
      <c r="G30" s="3" t="inlineStr"/>
      <c r="H30" s="2" t="n"/>
      <c r="I30" s="2" t="n"/>
      <c r="J30" s="2" t="n"/>
      <c r="K30" s="2" t="n"/>
      <c r="L30" s="2">
        <f>IF(COUNT(H30:K30)&gt;0, SUM(H30:K30), "")</f>
        <v/>
      </c>
      <c r="M30" s="2" t="n"/>
      <c r="N30" s="2" t="n"/>
      <c r="O30" s="2" t="n"/>
      <c r="P30" s="2" t="n"/>
      <c r="Q30" s="2">
        <f>IF(AND(ISNUMBER(N30), N30&gt;0, ISNUMBER(P30)), ROUND(P30/N30, 2), "")</f>
        <v/>
      </c>
      <c r="R30" s="2" t="n"/>
      <c r="S30" s="2" t="inlineStr">
        <is>
          <t>Completed</t>
        </is>
      </c>
      <c r="T30" s="2" t="inlineStr">
        <is>
          <t>Pending</t>
        </is>
      </c>
      <c r="U30" s="3" t="inlineStr">
        <is>
          <t>data/responses/Q10_DSR1.json</t>
        </is>
      </c>
      <c r="V30" s="3" t="inlineStr"/>
    </row>
    <row r="31" ht="20" customHeight="1">
      <c r="A31" s="2" t="inlineStr">
        <is>
          <t>Q10_QWEN</t>
        </is>
      </c>
      <c r="B31" s="2" t="inlineStr">
        <is>
          <t>Q10</t>
        </is>
      </c>
      <c r="C31" s="3" t="inlineStr">
        <is>
          <t>qwen3:8b</t>
        </is>
      </c>
      <c r="D31" s="3" t="inlineStr">
        <is>
          <t>Logical reasoning</t>
        </is>
      </c>
      <c r="E31" s="2" t="inlineStr">
        <is>
          <t>Hard</t>
        </is>
      </c>
      <c r="F31" s="3">
        <f>'Question Bank &amp; Key'!D12</f>
        <v/>
      </c>
      <c r="G31" s="3" t="inlineStr"/>
      <c r="H31" s="2" t="n"/>
      <c r="I31" s="2" t="n"/>
      <c r="J31" s="2" t="n"/>
      <c r="K31" s="2" t="n"/>
      <c r="L31" s="2">
        <f>IF(COUNT(H31:K31)&gt;0, SUM(H31:K31), "")</f>
        <v/>
      </c>
      <c r="M31" s="2" t="n"/>
      <c r="N31" s="2" t="n"/>
      <c r="O31" s="2" t="n"/>
      <c r="P31" s="2" t="n"/>
      <c r="Q31" s="2">
        <f>IF(AND(ISNUMBER(N31), N31&gt;0, ISNUMBER(P31)), ROUND(P31/N31, 2), "")</f>
        <v/>
      </c>
      <c r="R31" s="2" t="n"/>
      <c r="S31" s="2" t="inlineStr">
        <is>
          <t>Completed</t>
        </is>
      </c>
      <c r="T31" s="2" t="inlineStr">
        <is>
          <t>Pending</t>
        </is>
      </c>
      <c r="U31" s="3" t="inlineStr">
        <is>
          <t>data/responses/Q10_QWEN.json</t>
        </is>
      </c>
      <c r="V31" s="3" t="inlineStr"/>
    </row>
    <row r="32" ht="20" customHeight="1">
      <c r="A32" s="2" t="inlineStr">
        <is>
          <t>Q11_PHI</t>
        </is>
      </c>
      <c r="B32" s="2" t="inlineStr">
        <is>
          <t>Q11</t>
        </is>
      </c>
      <c r="C32" s="3" t="inlineStr">
        <is>
          <t>phi4-mini-reasoning</t>
        </is>
      </c>
      <c r="D32" s="3" t="inlineStr">
        <is>
          <t>Programming reasoning</t>
        </is>
      </c>
      <c r="E32" s="2" t="inlineStr">
        <is>
          <t>Easy</t>
        </is>
      </c>
      <c r="F32" s="3">
        <f>'Question Bank &amp; Key'!D13</f>
        <v/>
      </c>
      <c r="G32" s="3" t="inlineStr"/>
      <c r="H32" s="2" t="n"/>
      <c r="I32" s="2" t="n"/>
      <c r="J32" s="2" t="n"/>
      <c r="K32" s="2" t="n"/>
      <c r="L32" s="2">
        <f>IF(COUNT(H32:K32)&gt;0, SUM(H32:K32), "")</f>
        <v/>
      </c>
      <c r="M32" s="2" t="n"/>
      <c r="N32" s="2" t="n"/>
      <c r="O32" s="2" t="n"/>
      <c r="P32" s="2" t="n"/>
      <c r="Q32" s="2">
        <f>IF(AND(ISNUMBER(N32), N32&gt;0, ISNUMBER(P32)), ROUND(P32/N32, 2), "")</f>
        <v/>
      </c>
      <c r="R32" s="2" t="n"/>
      <c r="S32" s="2" t="inlineStr">
        <is>
          <t>Completed</t>
        </is>
      </c>
      <c r="T32" s="2" t="inlineStr">
        <is>
          <t>Pending</t>
        </is>
      </c>
      <c r="U32" s="3" t="inlineStr">
        <is>
          <t>data/responses/Q11_PHI.json</t>
        </is>
      </c>
      <c r="V32" s="3" t="inlineStr"/>
    </row>
    <row r="33" ht="20" customHeight="1">
      <c r="A33" s="2" t="inlineStr">
        <is>
          <t>Q11_DSR1</t>
        </is>
      </c>
      <c r="B33" s="2" t="inlineStr">
        <is>
          <t>Q11</t>
        </is>
      </c>
      <c r="C33" s="3" t="inlineStr">
        <is>
          <t>deepseek-r1:7b</t>
        </is>
      </c>
      <c r="D33" s="3" t="inlineStr">
        <is>
          <t>Programming reasoning</t>
        </is>
      </c>
      <c r="E33" s="2" t="inlineStr">
        <is>
          <t>Easy</t>
        </is>
      </c>
      <c r="F33" s="3">
        <f>'Question Bank &amp; Key'!D13</f>
        <v/>
      </c>
      <c r="G33" s="3" t="inlineStr"/>
      <c r="H33" s="2" t="n"/>
      <c r="I33" s="2" t="n"/>
      <c r="J33" s="2" t="n"/>
      <c r="K33" s="2" t="n"/>
      <c r="L33" s="2">
        <f>IF(COUNT(H33:K33)&gt;0, SUM(H33:K33), "")</f>
        <v/>
      </c>
      <c r="M33" s="2" t="n"/>
      <c r="N33" s="2" t="n"/>
      <c r="O33" s="2" t="n"/>
      <c r="P33" s="2" t="n"/>
      <c r="Q33" s="2">
        <f>IF(AND(ISNUMBER(N33), N33&gt;0, ISNUMBER(P33)), ROUND(P33/N33, 2), "")</f>
        <v/>
      </c>
      <c r="R33" s="2" t="n"/>
      <c r="S33" s="2" t="inlineStr">
        <is>
          <t>Completed</t>
        </is>
      </c>
      <c r="T33" s="2" t="inlineStr">
        <is>
          <t>Pending</t>
        </is>
      </c>
      <c r="U33" s="3" t="inlineStr">
        <is>
          <t>data/responses/Q11_DSR1.json</t>
        </is>
      </c>
      <c r="V33" s="3" t="inlineStr"/>
    </row>
    <row r="34" ht="20" customHeight="1">
      <c r="A34" s="2" t="inlineStr">
        <is>
          <t>Q11_QWEN</t>
        </is>
      </c>
      <c r="B34" s="2" t="inlineStr">
        <is>
          <t>Q11</t>
        </is>
      </c>
      <c r="C34" s="3" t="inlineStr">
        <is>
          <t>qwen3:8b</t>
        </is>
      </c>
      <c r="D34" s="3" t="inlineStr">
        <is>
          <t>Programming reasoning</t>
        </is>
      </c>
      <c r="E34" s="2" t="inlineStr">
        <is>
          <t>Easy</t>
        </is>
      </c>
      <c r="F34" s="3">
        <f>'Question Bank &amp; Key'!D13</f>
        <v/>
      </c>
      <c r="G34" s="3" t="inlineStr"/>
      <c r="H34" s="2" t="n"/>
      <c r="I34" s="2" t="n"/>
      <c r="J34" s="2" t="n"/>
      <c r="K34" s="2" t="n"/>
      <c r="L34" s="2">
        <f>IF(COUNT(H34:K34)&gt;0, SUM(H34:K34), "")</f>
        <v/>
      </c>
      <c r="M34" s="2" t="n"/>
      <c r="N34" s="2" t="n"/>
      <c r="O34" s="2" t="n"/>
      <c r="P34" s="2" t="n"/>
      <c r="Q34" s="2">
        <f>IF(AND(ISNUMBER(N34), N34&gt;0, ISNUMBER(P34)), ROUND(P34/N34, 2), "")</f>
        <v/>
      </c>
      <c r="R34" s="2" t="n"/>
      <c r="S34" s="2" t="inlineStr">
        <is>
          <t>Completed</t>
        </is>
      </c>
      <c r="T34" s="2" t="inlineStr">
        <is>
          <t>Pending</t>
        </is>
      </c>
      <c r="U34" s="3" t="inlineStr">
        <is>
          <t>data/responses/Q11_QWEN.json</t>
        </is>
      </c>
      <c r="V34" s="3" t="inlineStr"/>
    </row>
    <row r="35" ht="20" customHeight="1">
      <c r="A35" s="2" t="inlineStr">
        <is>
          <t>Q12_PHI</t>
        </is>
      </c>
      <c r="B35" s="2" t="inlineStr">
        <is>
          <t>Q12</t>
        </is>
      </c>
      <c r="C35" s="3" t="inlineStr">
        <is>
          <t>phi4-mini-reasoning</t>
        </is>
      </c>
      <c r="D35" s="3" t="inlineStr">
        <is>
          <t>Programming reasoning</t>
        </is>
      </c>
      <c r="E35" s="2" t="inlineStr">
        <is>
          <t>Easy</t>
        </is>
      </c>
      <c r="F35" s="3">
        <f>'Question Bank &amp; Key'!D14</f>
        <v/>
      </c>
      <c r="G35" s="3" t="inlineStr"/>
      <c r="H35" s="2" t="n"/>
      <c r="I35" s="2" t="n"/>
      <c r="J35" s="2" t="n"/>
      <c r="K35" s="2" t="n"/>
      <c r="L35" s="2">
        <f>IF(COUNT(H35:K35)&gt;0, SUM(H35:K35), "")</f>
        <v/>
      </c>
      <c r="M35" s="2" t="n"/>
      <c r="N35" s="2" t="n"/>
      <c r="O35" s="2" t="n"/>
      <c r="P35" s="2" t="n"/>
      <c r="Q35" s="2">
        <f>IF(AND(ISNUMBER(N35), N35&gt;0, ISNUMBER(P35)), ROUND(P35/N35, 2), "")</f>
        <v/>
      </c>
      <c r="R35" s="2" t="n"/>
      <c r="S35" s="2" t="inlineStr">
        <is>
          <t>Completed</t>
        </is>
      </c>
      <c r="T35" s="2" t="inlineStr">
        <is>
          <t>Pending</t>
        </is>
      </c>
      <c r="U35" s="3" t="inlineStr">
        <is>
          <t>data/responses/Q12_PHI.json</t>
        </is>
      </c>
      <c r="V35" s="3" t="inlineStr"/>
    </row>
    <row r="36" ht="20" customHeight="1">
      <c r="A36" s="2" t="inlineStr">
        <is>
          <t>Q12_DSR1</t>
        </is>
      </c>
      <c r="B36" s="2" t="inlineStr">
        <is>
          <t>Q12</t>
        </is>
      </c>
      <c r="C36" s="3" t="inlineStr">
        <is>
          <t>deepseek-r1:7b</t>
        </is>
      </c>
      <c r="D36" s="3" t="inlineStr">
        <is>
          <t>Programming reasoning</t>
        </is>
      </c>
      <c r="E36" s="2" t="inlineStr">
        <is>
          <t>Easy</t>
        </is>
      </c>
      <c r="F36" s="3">
        <f>'Question Bank &amp; Key'!D14</f>
        <v/>
      </c>
      <c r="G36" s="3" t="inlineStr"/>
      <c r="H36" s="2" t="n"/>
      <c r="I36" s="2" t="n"/>
      <c r="J36" s="2" t="n"/>
      <c r="K36" s="2" t="n"/>
      <c r="L36" s="2">
        <f>IF(COUNT(H36:K36)&gt;0, SUM(H36:K36), "")</f>
        <v/>
      </c>
      <c r="M36" s="2" t="n"/>
      <c r="N36" s="2" t="n"/>
      <c r="O36" s="2" t="n"/>
      <c r="P36" s="2" t="n"/>
      <c r="Q36" s="2">
        <f>IF(AND(ISNUMBER(N36), N36&gt;0, ISNUMBER(P36)), ROUND(P36/N36, 2), "")</f>
        <v/>
      </c>
      <c r="R36" s="2" t="n"/>
      <c r="S36" s="2" t="inlineStr">
        <is>
          <t>Completed</t>
        </is>
      </c>
      <c r="T36" s="2" t="inlineStr">
        <is>
          <t>Pending</t>
        </is>
      </c>
      <c r="U36" s="3" t="inlineStr">
        <is>
          <t>data/responses/Q12_DSR1.json</t>
        </is>
      </c>
      <c r="V36" s="3" t="inlineStr"/>
    </row>
    <row r="37" ht="20" customHeight="1">
      <c r="A37" s="2" t="inlineStr">
        <is>
          <t>Q12_QWEN</t>
        </is>
      </c>
      <c r="B37" s="2" t="inlineStr">
        <is>
          <t>Q12</t>
        </is>
      </c>
      <c r="C37" s="3" t="inlineStr">
        <is>
          <t>qwen3:8b</t>
        </is>
      </c>
      <c r="D37" s="3" t="inlineStr">
        <is>
          <t>Programming reasoning</t>
        </is>
      </c>
      <c r="E37" s="2" t="inlineStr">
        <is>
          <t>Easy</t>
        </is>
      </c>
      <c r="F37" s="3">
        <f>'Question Bank &amp; Key'!D14</f>
        <v/>
      </c>
      <c r="G37" s="3" t="inlineStr"/>
      <c r="H37" s="2" t="n"/>
      <c r="I37" s="2" t="n"/>
      <c r="J37" s="2" t="n"/>
      <c r="K37" s="2" t="n"/>
      <c r="L37" s="2">
        <f>IF(COUNT(H37:K37)&gt;0, SUM(H37:K37), "")</f>
        <v/>
      </c>
      <c r="M37" s="2" t="n"/>
      <c r="N37" s="2" t="n"/>
      <c r="O37" s="2" t="n"/>
      <c r="P37" s="2" t="n"/>
      <c r="Q37" s="2">
        <f>IF(AND(ISNUMBER(N37), N37&gt;0, ISNUMBER(P37)), ROUND(P37/N37, 2), "")</f>
        <v/>
      </c>
      <c r="R37" s="2" t="n"/>
      <c r="S37" s="2" t="inlineStr">
        <is>
          <t>Completed</t>
        </is>
      </c>
      <c r="T37" s="2" t="inlineStr">
        <is>
          <t>Pending</t>
        </is>
      </c>
      <c r="U37" s="3" t="inlineStr">
        <is>
          <t>data/responses/Q12_QWEN.json</t>
        </is>
      </c>
      <c r="V37" s="3" t="inlineStr"/>
    </row>
    <row r="38" ht="20" customHeight="1">
      <c r="A38" s="2" t="inlineStr">
        <is>
          <t>Q13_PHI</t>
        </is>
      </c>
      <c r="B38" s="2" t="inlineStr">
        <is>
          <t>Q13</t>
        </is>
      </c>
      <c r="C38" s="3" t="inlineStr">
        <is>
          <t>phi4-mini-reasoning</t>
        </is>
      </c>
      <c r="D38" s="3" t="inlineStr">
        <is>
          <t>Programming reasoning</t>
        </is>
      </c>
      <c r="E38" s="2" t="inlineStr">
        <is>
          <t>Medium</t>
        </is>
      </c>
      <c r="F38" s="3">
        <f>'Question Bank &amp; Key'!D15</f>
        <v/>
      </c>
      <c r="G38" s="3" t="inlineStr"/>
      <c r="H38" s="2" t="n"/>
      <c r="I38" s="2" t="n"/>
      <c r="J38" s="2" t="n"/>
      <c r="K38" s="2" t="n"/>
      <c r="L38" s="2">
        <f>IF(COUNT(H38:K38)&gt;0, SUM(H38:K38), "")</f>
        <v/>
      </c>
      <c r="M38" s="2" t="n"/>
      <c r="N38" s="2" t="n"/>
      <c r="O38" s="2" t="n"/>
      <c r="P38" s="2" t="n"/>
      <c r="Q38" s="2">
        <f>IF(AND(ISNUMBER(N38), N38&gt;0, ISNUMBER(P38)), ROUND(P38/N38, 2), "")</f>
        <v/>
      </c>
      <c r="R38" s="2" t="n"/>
      <c r="S38" s="2" t="inlineStr">
        <is>
          <t>Completed</t>
        </is>
      </c>
      <c r="T38" s="2" t="inlineStr">
        <is>
          <t>Pending</t>
        </is>
      </c>
      <c r="U38" s="3" t="inlineStr">
        <is>
          <t>data/responses/Q13_PHI.json</t>
        </is>
      </c>
      <c r="V38" s="3" t="inlineStr"/>
    </row>
    <row r="39" ht="20" customHeight="1">
      <c r="A39" s="2" t="inlineStr">
        <is>
          <t>Q13_DSR1</t>
        </is>
      </c>
      <c r="B39" s="2" t="inlineStr">
        <is>
          <t>Q13</t>
        </is>
      </c>
      <c r="C39" s="3" t="inlineStr">
        <is>
          <t>deepseek-r1:7b</t>
        </is>
      </c>
      <c r="D39" s="3" t="inlineStr">
        <is>
          <t>Programming reasoning</t>
        </is>
      </c>
      <c r="E39" s="2" t="inlineStr">
        <is>
          <t>Medium</t>
        </is>
      </c>
      <c r="F39" s="3">
        <f>'Question Bank &amp; Key'!D15</f>
        <v/>
      </c>
      <c r="G39" s="3" t="inlineStr"/>
      <c r="H39" s="2" t="n"/>
      <c r="I39" s="2" t="n"/>
      <c r="J39" s="2" t="n"/>
      <c r="K39" s="2" t="n"/>
      <c r="L39" s="2">
        <f>IF(COUNT(H39:K39)&gt;0, SUM(H39:K39), "")</f>
        <v/>
      </c>
      <c r="M39" s="2" t="n"/>
      <c r="N39" s="2" t="n"/>
      <c r="O39" s="2" t="n"/>
      <c r="P39" s="2" t="n"/>
      <c r="Q39" s="2">
        <f>IF(AND(ISNUMBER(N39), N39&gt;0, ISNUMBER(P39)), ROUND(P39/N39, 2), "")</f>
        <v/>
      </c>
      <c r="R39" s="2" t="n"/>
      <c r="S39" s="2" t="inlineStr">
        <is>
          <t>Completed</t>
        </is>
      </c>
      <c r="T39" s="2" t="inlineStr">
        <is>
          <t>Pending</t>
        </is>
      </c>
      <c r="U39" s="3" t="inlineStr">
        <is>
          <t>data/responses/Q13_DSR1.json</t>
        </is>
      </c>
      <c r="V39" s="3" t="inlineStr"/>
    </row>
    <row r="40" ht="20" customHeight="1">
      <c r="A40" s="2" t="inlineStr">
        <is>
          <t>Q13_QWEN</t>
        </is>
      </c>
      <c r="B40" s="2" t="inlineStr">
        <is>
          <t>Q13</t>
        </is>
      </c>
      <c r="C40" s="3" t="inlineStr">
        <is>
          <t>qwen3:8b</t>
        </is>
      </c>
      <c r="D40" s="3" t="inlineStr">
        <is>
          <t>Programming reasoning</t>
        </is>
      </c>
      <c r="E40" s="2" t="inlineStr">
        <is>
          <t>Medium</t>
        </is>
      </c>
      <c r="F40" s="3">
        <f>'Question Bank &amp; Key'!D15</f>
        <v/>
      </c>
      <c r="G40" s="3" t="inlineStr"/>
      <c r="H40" s="2" t="n"/>
      <c r="I40" s="2" t="n"/>
      <c r="J40" s="2" t="n"/>
      <c r="K40" s="2" t="n"/>
      <c r="L40" s="2">
        <f>IF(COUNT(H40:K40)&gt;0, SUM(H40:K40), "")</f>
        <v/>
      </c>
      <c r="M40" s="2" t="n"/>
      <c r="N40" s="2" t="n"/>
      <c r="O40" s="2" t="n"/>
      <c r="P40" s="2" t="n"/>
      <c r="Q40" s="2">
        <f>IF(AND(ISNUMBER(N40), N40&gt;0, ISNUMBER(P40)), ROUND(P40/N40, 2), "")</f>
        <v/>
      </c>
      <c r="R40" s="2" t="n"/>
      <c r="S40" s="2" t="inlineStr">
        <is>
          <t>Completed</t>
        </is>
      </c>
      <c r="T40" s="2" t="inlineStr">
        <is>
          <t>Pending</t>
        </is>
      </c>
      <c r="U40" s="3" t="inlineStr">
        <is>
          <t>data/responses/Q13_QWEN.json</t>
        </is>
      </c>
      <c r="V40" s="3" t="inlineStr"/>
    </row>
    <row r="41" ht="20" customHeight="1">
      <c r="A41" s="2" t="inlineStr">
        <is>
          <t>Q14_PHI</t>
        </is>
      </c>
      <c r="B41" s="2" t="inlineStr">
        <is>
          <t>Q14</t>
        </is>
      </c>
      <c r="C41" s="3" t="inlineStr">
        <is>
          <t>phi4-mini-reasoning</t>
        </is>
      </c>
      <c r="D41" s="3" t="inlineStr">
        <is>
          <t>Programming reasoning</t>
        </is>
      </c>
      <c r="E41" s="2" t="inlineStr">
        <is>
          <t>Medium</t>
        </is>
      </c>
      <c r="F41" s="3">
        <f>'Question Bank &amp; Key'!D16</f>
        <v/>
      </c>
      <c r="G41" s="3" t="inlineStr"/>
      <c r="H41" s="2" t="n"/>
      <c r="I41" s="2" t="n"/>
      <c r="J41" s="2" t="n"/>
      <c r="K41" s="2" t="n"/>
      <c r="L41" s="2">
        <f>IF(COUNT(H41:K41)&gt;0, SUM(H41:K41), "")</f>
        <v/>
      </c>
      <c r="M41" s="2" t="n"/>
      <c r="N41" s="2" t="n"/>
      <c r="O41" s="2" t="n"/>
      <c r="P41" s="2" t="n"/>
      <c r="Q41" s="2">
        <f>IF(AND(ISNUMBER(N41), N41&gt;0, ISNUMBER(P41)), ROUND(P41/N41, 2), "")</f>
        <v/>
      </c>
      <c r="R41" s="2" t="n"/>
      <c r="S41" s="2" t="inlineStr">
        <is>
          <t>Completed</t>
        </is>
      </c>
      <c r="T41" s="2" t="inlineStr">
        <is>
          <t>Pending</t>
        </is>
      </c>
      <c r="U41" s="3" t="inlineStr">
        <is>
          <t>data/responses/Q14_PHI.json</t>
        </is>
      </c>
      <c r="V41" s="3" t="inlineStr"/>
    </row>
    <row r="42" ht="20" customHeight="1">
      <c r="A42" s="2" t="inlineStr">
        <is>
          <t>Q14_DSR1</t>
        </is>
      </c>
      <c r="B42" s="2" t="inlineStr">
        <is>
          <t>Q14</t>
        </is>
      </c>
      <c r="C42" s="3" t="inlineStr">
        <is>
          <t>deepseek-r1:7b</t>
        </is>
      </c>
      <c r="D42" s="3" t="inlineStr">
        <is>
          <t>Programming reasoning</t>
        </is>
      </c>
      <c r="E42" s="2" t="inlineStr">
        <is>
          <t>Medium</t>
        </is>
      </c>
      <c r="F42" s="3">
        <f>'Question Bank &amp; Key'!D16</f>
        <v/>
      </c>
      <c r="G42" s="3" t="inlineStr"/>
      <c r="H42" s="2" t="n"/>
      <c r="I42" s="2" t="n"/>
      <c r="J42" s="2" t="n"/>
      <c r="K42" s="2" t="n"/>
      <c r="L42" s="2">
        <f>IF(COUNT(H42:K42)&gt;0, SUM(H42:K42), "")</f>
        <v/>
      </c>
      <c r="M42" s="2" t="n"/>
      <c r="N42" s="2" t="n"/>
      <c r="O42" s="2" t="n"/>
      <c r="P42" s="2" t="n"/>
      <c r="Q42" s="2">
        <f>IF(AND(ISNUMBER(N42), N42&gt;0, ISNUMBER(P42)), ROUND(P42/N42, 2), "")</f>
        <v/>
      </c>
      <c r="R42" s="2" t="n"/>
      <c r="S42" s="2" t="inlineStr">
        <is>
          <t>Completed</t>
        </is>
      </c>
      <c r="T42" s="2" t="inlineStr">
        <is>
          <t>Pending</t>
        </is>
      </c>
      <c r="U42" s="3" t="inlineStr">
        <is>
          <t>data/responses/Q14_DSR1.json</t>
        </is>
      </c>
      <c r="V42" s="3" t="inlineStr"/>
    </row>
    <row r="43" ht="20" customHeight="1">
      <c r="A43" s="2" t="inlineStr">
        <is>
          <t>Q14_QWEN</t>
        </is>
      </c>
      <c r="B43" s="2" t="inlineStr">
        <is>
          <t>Q14</t>
        </is>
      </c>
      <c r="C43" s="3" t="inlineStr">
        <is>
          <t>qwen3:8b</t>
        </is>
      </c>
      <c r="D43" s="3" t="inlineStr">
        <is>
          <t>Programming reasoning</t>
        </is>
      </c>
      <c r="E43" s="2" t="inlineStr">
        <is>
          <t>Medium</t>
        </is>
      </c>
      <c r="F43" s="3">
        <f>'Question Bank &amp; Key'!D16</f>
        <v/>
      </c>
      <c r="G43" s="3" t="inlineStr"/>
      <c r="H43" s="2" t="n"/>
      <c r="I43" s="2" t="n"/>
      <c r="J43" s="2" t="n"/>
      <c r="K43" s="2" t="n"/>
      <c r="L43" s="2">
        <f>IF(COUNT(H43:K43)&gt;0, SUM(H43:K43), "")</f>
        <v/>
      </c>
      <c r="M43" s="2" t="n"/>
      <c r="N43" s="2" t="n"/>
      <c r="O43" s="2" t="n"/>
      <c r="P43" s="2" t="n"/>
      <c r="Q43" s="2">
        <f>IF(AND(ISNUMBER(N43), N43&gt;0, ISNUMBER(P43)), ROUND(P43/N43, 2), "")</f>
        <v/>
      </c>
      <c r="R43" s="2" t="n"/>
      <c r="S43" s="2" t="inlineStr">
        <is>
          <t>Completed</t>
        </is>
      </c>
      <c r="T43" s="2" t="inlineStr">
        <is>
          <t>Pending</t>
        </is>
      </c>
      <c r="U43" s="3" t="inlineStr">
        <is>
          <t>data/responses/Q14_QWEN.json</t>
        </is>
      </c>
      <c r="V43" s="3" t="inlineStr"/>
    </row>
    <row r="44" ht="20" customHeight="1">
      <c r="A44" s="2" t="inlineStr">
        <is>
          <t>Q15_PHI</t>
        </is>
      </c>
      <c r="B44" s="2" t="inlineStr">
        <is>
          <t>Q15</t>
        </is>
      </c>
      <c r="C44" s="3" t="inlineStr">
        <is>
          <t>phi4-mini-reasoning</t>
        </is>
      </c>
      <c r="D44" s="3" t="inlineStr">
        <is>
          <t>Programming reasoning</t>
        </is>
      </c>
      <c r="E44" s="2" t="inlineStr">
        <is>
          <t>Hard</t>
        </is>
      </c>
      <c r="F44" s="3">
        <f>'Question Bank &amp; Key'!D17</f>
        <v/>
      </c>
      <c r="G44" s="3" t="inlineStr"/>
      <c r="H44" s="2" t="n"/>
      <c r="I44" s="2" t="n"/>
      <c r="J44" s="2" t="n"/>
      <c r="K44" s="2" t="n"/>
      <c r="L44" s="2">
        <f>IF(COUNT(H44:K44)&gt;0, SUM(H44:K44), "")</f>
        <v/>
      </c>
      <c r="M44" s="2" t="n"/>
      <c r="N44" s="2" t="n"/>
      <c r="O44" s="2" t="n"/>
      <c r="P44" s="2" t="n"/>
      <c r="Q44" s="2">
        <f>IF(AND(ISNUMBER(N44), N44&gt;0, ISNUMBER(P44)), ROUND(P44/N44, 2), "")</f>
        <v/>
      </c>
      <c r="R44" s="2" t="n"/>
      <c r="S44" s="2" t="inlineStr">
        <is>
          <t>Completed</t>
        </is>
      </c>
      <c r="T44" s="2" t="inlineStr">
        <is>
          <t>Pending</t>
        </is>
      </c>
      <c r="U44" s="3" t="inlineStr">
        <is>
          <t>data/responses/Q15_PHI.json</t>
        </is>
      </c>
      <c r="V44" s="3" t="inlineStr"/>
    </row>
    <row r="45" ht="20" customHeight="1">
      <c r="A45" s="2" t="inlineStr">
        <is>
          <t>Q15_DSR1</t>
        </is>
      </c>
      <c r="B45" s="2" t="inlineStr">
        <is>
          <t>Q15</t>
        </is>
      </c>
      <c r="C45" s="3" t="inlineStr">
        <is>
          <t>deepseek-r1:7b</t>
        </is>
      </c>
      <c r="D45" s="3" t="inlineStr">
        <is>
          <t>Programming reasoning</t>
        </is>
      </c>
      <c r="E45" s="2" t="inlineStr">
        <is>
          <t>Hard</t>
        </is>
      </c>
      <c r="F45" s="3">
        <f>'Question Bank &amp; Key'!D17</f>
        <v/>
      </c>
      <c r="G45" s="3" t="inlineStr"/>
      <c r="H45" s="2" t="n"/>
      <c r="I45" s="2" t="n"/>
      <c r="J45" s="2" t="n"/>
      <c r="K45" s="2" t="n"/>
      <c r="L45" s="2">
        <f>IF(COUNT(H45:K45)&gt;0, SUM(H45:K45), "")</f>
        <v/>
      </c>
      <c r="M45" s="2" t="n"/>
      <c r="N45" s="2" t="n"/>
      <c r="O45" s="2" t="n"/>
      <c r="P45" s="2" t="n"/>
      <c r="Q45" s="2">
        <f>IF(AND(ISNUMBER(N45), N45&gt;0, ISNUMBER(P45)), ROUND(P45/N45, 2), "")</f>
        <v/>
      </c>
      <c r="R45" s="2" t="n"/>
      <c r="S45" s="2" t="inlineStr">
        <is>
          <t>Completed</t>
        </is>
      </c>
      <c r="T45" s="2" t="inlineStr">
        <is>
          <t>Pending</t>
        </is>
      </c>
      <c r="U45" s="3" t="inlineStr">
        <is>
          <t>data/responses/Q15_DSR1.json</t>
        </is>
      </c>
      <c r="V45" s="3" t="inlineStr"/>
    </row>
    <row r="46" ht="20" customHeight="1">
      <c r="A46" s="2" t="inlineStr">
        <is>
          <t>Q15_QWEN</t>
        </is>
      </c>
      <c r="B46" s="2" t="inlineStr">
        <is>
          <t>Q15</t>
        </is>
      </c>
      <c r="C46" s="3" t="inlineStr">
        <is>
          <t>qwen3:8b</t>
        </is>
      </c>
      <c r="D46" s="3" t="inlineStr">
        <is>
          <t>Programming reasoning</t>
        </is>
      </c>
      <c r="E46" s="2" t="inlineStr">
        <is>
          <t>Hard</t>
        </is>
      </c>
      <c r="F46" s="3">
        <f>'Question Bank &amp; Key'!D17</f>
        <v/>
      </c>
      <c r="G46" s="3" t="inlineStr"/>
      <c r="H46" s="2" t="n"/>
      <c r="I46" s="2" t="n"/>
      <c r="J46" s="2" t="n"/>
      <c r="K46" s="2" t="n"/>
      <c r="L46" s="2">
        <f>IF(COUNT(H46:K46)&gt;0, SUM(H46:K46), "")</f>
        <v/>
      </c>
      <c r="M46" s="2" t="n"/>
      <c r="N46" s="2" t="n"/>
      <c r="O46" s="2" t="n"/>
      <c r="P46" s="2" t="n"/>
      <c r="Q46" s="2">
        <f>IF(AND(ISNUMBER(N46), N46&gt;0, ISNUMBER(P46)), ROUND(P46/N46, 2), "")</f>
        <v/>
      </c>
      <c r="R46" s="2" t="n"/>
      <c r="S46" s="2" t="inlineStr">
        <is>
          <t>Completed</t>
        </is>
      </c>
      <c r="T46" s="2" t="inlineStr">
        <is>
          <t>Pending</t>
        </is>
      </c>
      <c r="U46" s="3" t="inlineStr">
        <is>
          <t>data/responses/Q15_QWEN.json</t>
        </is>
      </c>
      <c r="V46" s="3" t="inlineStr"/>
    </row>
  </sheetData>
  <dataValidations count="3">
    <dataValidation sqref="H2:K46" showDropDown="0" showInputMessage="0" showErrorMessage="0" allowBlank="1" errorTitle="Invalid Score Range" error="Enter 0, 1, or 2 as per the rubric." promptTitle="Rubric Score" prompt="Score: 0, 1, or 2" type="whole" operator="between">
      <formula1>0</formula1>
      <formula2>2</formula2>
    </dataValidation>
    <dataValidation sqref="S2:S46" showDropDown="0" showInputMessage="0" showErrorMessage="0" allowBlank="1" errorTitle="Invalid Completion Status" error="Choose from Completed, Timeout, OOM, Error" type="list">
      <formula1>"Completed,Timeout,OOM,Error"</formula1>
    </dataValidation>
    <dataValidation sqref="T2:T46" showDropDown="0" showInputMessage="0" showErrorMessage="0" allowBlank="1" errorTitle="Invalid Verification Status" error="Choose from Pending, Verified, Flagged" type="list">
      <formula1>"Pending,Verified,Flagged"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2" customWidth="1" min="3" max="3"/>
    <col width="22" customWidth="1" min="4" max="4"/>
    <col width="22" customWidth="1" min="5" max="5"/>
  </cols>
  <sheetData>
    <row r="1" ht="24" customHeight="1">
      <c r="A1" s="4" t="inlineStr">
        <is>
          <t>Benchmarking Metrics Summary (Page 3 Calculations)</t>
        </is>
      </c>
    </row>
    <row r="3" ht="26" customHeight="1">
      <c r="A3" s="1" t="inlineStr">
        <is>
          <t>Model</t>
        </is>
      </c>
      <c r="B3" s="1" t="inlineStr">
        <is>
          <t>Fully Correct Rate (%)</t>
        </is>
      </c>
      <c r="C3" s="1" t="inlineStr">
        <is>
          <t>Average Quality Score (0-8)</t>
        </is>
      </c>
      <c r="D3" s="1" t="inlineStr">
        <is>
          <t>Average Response Time (s)</t>
        </is>
      </c>
      <c r="E3" s="1" t="inlineStr">
        <is>
          <t>Average Tokens/sec</t>
        </is>
      </c>
    </row>
    <row r="4" ht="22" customHeight="1">
      <c r="A4" s="5" t="inlineStr">
        <is>
          <t>phi4-mini-reasoning</t>
        </is>
      </c>
      <c r="B4" s="2">
        <f>ROUND(COUNTIFS('Scoring Register'!$C$2:$C$46, "phi4-mini-reasoning", 'Scoring Register'!$H$2:$H$46, 2) / 15 * 100, 1)</f>
        <v/>
      </c>
      <c r="C4" s="2">
        <f>ROUND(AVERAGEIF('Scoring Register'!$C$2:$C$46, "phi4-mini-reasoning", 'Scoring Register'!$L$2:$L$46), 2)</f>
        <v/>
      </c>
      <c r="D4" s="2">
        <f>ROUND(AVERAGEIF('Scoring Register'!$C$2:$C$46, "phi4-mini-reasoning", 'Scoring Register'!$N$2:$N$46), 2)</f>
        <v/>
      </c>
      <c r="E4" s="2">
        <f>ROUND(AVERAGEIF('Scoring Register'!$C$2:$C$46, "phi4-mini-reasoning", 'Scoring Register'!$Q$2:$Q$46), 2)</f>
        <v/>
      </c>
    </row>
    <row r="5" ht="22" customHeight="1">
      <c r="A5" s="5" t="inlineStr">
        <is>
          <t>deepseek-r1:7b</t>
        </is>
      </c>
      <c r="B5" s="2">
        <f>ROUND(COUNTIFS('Scoring Register'!$C$2:$C$46, "deepseek-r1:7b", 'Scoring Register'!$H$2:$H$46, 2) / 15 * 100, 1)</f>
        <v/>
      </c>
      <c r="C5" s="2">
        <f>ROUND(AVERAGEIF('Scoring Register'!$C$2:$C$46, "deepseek-r1:7b", 'Scoring Register'!$L$2:$L$46), 2)</f>
        <v/>
      </c>
      <c r="D5" s="2">
        <f>ROUND(AVERAGEIF('Scoring Register'!$C$2:$C$46, "deepseek-r1:7b", 'Scoring Register'!$N$2:$N$46), 2)</f>
        <v/>
      </c>
      <c r="E5" s="2">
        <f>ROUND(AVERAGEIF('Scoring Register'!$C$2:$C$46, "deepseek-r1:7b", 'Scoring Register'!$Q$2:$Q$46), 2)</f>
        <v/>
      </c>
    </row>
    <row r="6" ht="22" customHeight="1">
      <c r="A6" s="5" t="inlineStr">
        <is>
          <t>qwen3:8b</t>
        </is>
      </c>
      <c r="B6" s="2">
        <f>ROUND(COUNTIFS('Scoring Register'!$C$2:$C$46, "qwen3:8b", 'Scoring Register'!$H$2:$H$46, 2) / 15 * 100, 1)</f>
        <v/>
      </c>
      <c r="C6" s="2">
        <f>ROUND(AVERAGEIF('Scoring Register'!$C$2:$C$46, "qwen3:8b", 'Scoring Register'!$L$2:$L$46), 2)</f>
        <v/>
      </c>
      <c r="D6" s="2">
        <f>ROUND(AVERAGEIF('Scoring Register'!$C$2:$C$46, "qwen3:8b", 'Scoring Register'!$N$2:$N$46), 2)</f>
        <v/>
      </c>
      <c r="E6" s="2">
        <f>ROUND(AVERAGEIF('Scoring Register'!$C$2:$C$46, "qwen3:8b", 'Scoring Register'!$Q$2:$Q$46), 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5" customWidth="1" min="3" max="3"/>
    <col width="35" customWidth="1" min="4" max="4"/>
  </cols>
  <sheetData>
    <row r="1" ht="24" customHeight="1">
      <c r="A1" s="4" t="inlineStr">
        <is>
          <t>Official Response Scoring Rubric (Project Plan Page 3)</t>
        </is>
      </c>
    </row>
    <row r="3" ht="24" customHeight="1">
      <c r="A3" s="6" t="inlineStr">
        <is>
          <t>Criterion</t>
        </is>
      </c>
      <c r="B3" s="6" t="inlineStr">
        <is>
          <t>2 Points</t>
        </is>
      </c>
      <c r="C3" s="6" t="inlineStr">
        <is>
          <t>1 Point</t>
        </is>
      </c>
      <c r="D3" s="6" t="inlineStr">
        <is>
          <t>0 Points</t>
        </is>
      </c>
    </row>
    <row r="4" ht="24" customHeight="1">
      <c r="A4" s="5" t="inlineStr">
        <is>
          <t>Final answer</t>
        </is>
      </c>
      <c r="B4" s="2" t="inlineStr">
        <is>
          <t>Correct</t>
        </is>
      </c>
      <c r="C4" s="2" t="inlineStr">
        <is>
          <t>Partly correct</t>
        </is>
      </c>
      <c r="D4" s="2" t="inlineStr">
        <is>
          <t>Incorrect</t>
        </is>
      </c>
    </row>
    <row r="5" ht="24" customHeight="1">
      <c r="A5" s="5" t="inlineStr">
        <is>
          <t>Reasoning quality</t>
        </is>
      </c>
      <c r="B5" s="2" t="inlineStr">
        <is>
          <t>Clear and logical</t>
        </is>
      </c>
      <c r="C5" s="2" t="inlineStr">
        <is>
          <t>Some unclear or missing steps</t>
        </is>
      </c>
      <c r="D5" s="2" t="inlineStr">
        <is>
          <t>Illogical or unsupported</t>
        </is>
      </c>
    </row>
    <row r="6" ht="24" customHeight="1">
      <c r="A6" s="5" t="inlineStr">
        <is>
          <t>Instruction following</t>
        </is>
      </c>
      <c r="B6" s="2" t="inlineStr">
        <is>
          <t>Fully follows the request</t>
        </is>
      </c>
      <c r="C6" s="2" t="inlineStr">
        <is>
          <t>Partly follows</t>
        </is>
      </c>
      <c r="D6" s="2" t="inlineStr">
        <is>
          <t>Does not follow</t>
        </is>
      </c>
    </row>
    <row r="7" ht="24" customHeight="1">
      <c r="A7" s="5" t="inlineStr">
        <is>
          <t>Factual support</t>
        </is>
      </c>
      <c r="B7" s="2" t="inlineStr">
        <is>
          <t>No invented claim</t>
        </is>
      </c>
      <c r="C7" s="2" t="inlineStr">
        <is>
          <t>Minor unsupported claim</t>
        </is>
      </c>
      <c r="D7" s="2" t="inlineStr">
        <is>
          <t>Major invented information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5" customWidth="1" min="4" max="4"/>
    <col width="30" customWidth="1" min="5" max="5"/>
    <col width="45" customWidth="1" min="6" max="6"/>
  </cols>
  <sheetData>
    <row r="1" ht="24" customHeight="1">
      <c r="A1" s="4" t="inlineStr">
        <is>
          <t>Frozen 15-Question Benchmark &amp; Verified Answer Key (Project Plan Page 3 &amp; 4)</t>
        </is>
      </c>
    </row>
    <row r="2" ht="28" customHeight="1">
      <c r="A2" s="1" t="inlineStr">
        <is>
          <t>Question ID</t>
        </is>
      </c>
      <c r="B2" s="1" t="inlineStr">
        <is>
          <t>Category</t>
        </is>
      </c>
      <c r="C2" s="1" t="inlineStr">
        <is>
          <t>Difficulty</t>
        </is>
      </c>
      <c r="D2" s="1" t="inlineStr">
        <is>
          <t>Exact Prompt Wording</t>
        </is>
      </c>
      <c r="E2" s="1" t="inlineStr">
        <is>
          <t>Verified Final Answer</t>
        </is>
      </c>
      <c r="F2" s="1" t="inlineStr">
        <is>
          <t>Expected Key Reasoning Points</t>
        </is>
      </c>
    </row>
    <row r="3" ht="28" customHeight="1">
      <c r="A3" s="2" t="inlineStr">
        <is>
          <t>Q01</t>
        </is>
      </c>
      <c r="B3" s="3" t="inlineStr">
        <is>
          <t>Mathematical reasoning</t>
        </is>
      </c>
      <c r="C3" s="2" t="inlineStr">
        <is>
          <t>Easy</t>
        </is>
      </c>
      <c r="D3" s="7" t="inlineStr"/>
      <c r="E3" s="7" t="inlineStr"/>
      <c r="F3" s="7" t="inlineStr"/>
    </row>
    <row r="4" ht="28" customHeight="1">
      <c r="A4" s="2" t="inlineStr">
        <is>
          <t>Q02</t>
        </is>
      </c>
      <c r="B4" s="3" t="inlineStr">
        <is>
          <t>Mathematical reasoning</t>
        </is>
      </c>
      <c r="C4" s="2" t="inlineStr">
        <is>
          <t>Easy</t>
        </is>
      </c>
      <c r="D4" s="7" t="inlineStr"/>
      <c r="E4" s="7" t="inlineStr"/>
      <c r="F4" s="7" t="inlineStr"/>
    </row>
    <row r="5" ht="28" customHeight="1">
      <c r="A5" s="2" t="inlineStr">
        <is>
          <t>Q03</t>
        </is>
      </c>
      <c r="B5" s="3" t="inlineStr">
        <is>
          <t>Mathematical reasoning</t>
        </is>
      </c>
      <c r="C5" s="2" t="inlineStr">
        <is>
          <t>Medium</t>
        </is>
      </c>
      <c r="D5" s="7" t="inlineStr"/>
      <c r="E5" s="7" t="inlineStr"/>
      <c r="F5" s="7" t="inlineStr"/>
    </row>
    <row r="6" ht="28" customHeight="1">
      <c r="A6" s="2" t="inlineStr">
        <is>
          <t>Q04</t>
        </is>
      </c>
      <c r="B6" s="3" t="inlineStr">
        <is>
          <t>Mathematical reasoning</t>
        </is>
      </c>
      <c r="C6" s="2" t="inlineStr">
        <is>
          <t>Medium</t>
        </is>
      </c>
      <c r="D6" s="7" t="inlineStr"/>
      <c r="E6" s="7" t="inlineStr"/>
      <c r="F6" s="7" t="inlineStr"/>
    </row>
    <row r="7" ht="28" customHeight="1">
      <c r="A7" s="2" t="inlineStr">
        <is>
          <t>Q05</t>
        </is>
      </c>
      <c r="B7" s="3" t="inlineStr">
        <is>
          <t>Mathematical reasoning</t>
        </is>
      </c>
      <c r="C7" s="2" t="inlineStr">
        <is>
          <t>Hard</t>
        </is>
      </c>
      <c r="D7" s="7" t="inlineStr"/>
      <c r="E7" s="7" t="inlineStr"/>
      <c r="F7" s="7" t="inlineStr"/>
    </row>
    <row r="8" ht="28" customHeight="1">
      <c r="A8" s="2" t="inlineStr">
        <is>
          <t>Q06</t>
        </is>
      </c>
      <c r="B8" s="3" t="inlineStr">
        <is>
          <t>Logical reasoning</t>
        </is>
      </c>
      <c r="C8" s="2" t="inlineStr">
        <is>
          <t>Easy</t>
        </is>
      </c>
      <c r="D8" s="7" t="inlineStr"/>
      <c r="E8" s="7" t="inlineStr"/>
      <c r="F8" s="7" t="inlineStr"/>
    </row>
    <row r="9" ht="28" customHeight="1">
      <c r="A9" s="2" t="inlineStr">
        <is>
          <t>Q07</t>
        </is>
      </c>
      <c r="B9" s="3" t="inlineStr">
        <is>
          <t>Logical reasoning</t>
        </is>
      </c>
      <c r="C9" s="2" t="inlineStr">
        <is>
          <t>Easy</t>
        </is>
      </c>
      <c r="D9" s="7" t="inlineStr"/>
      <c r="E9" s="7" t="inlineStr"/>
      <c r="F9" s="7" t="inlineStr"/>
    </row>
    <row r="10" ht="28" customHeight="1">
      <c r="A10" s="2" t="inlineStr">
        <is>
          <t>Q08</t>
        </is>
      </c>
      <c r="B10" s="3" t="inlineStr">
        <is>
          <t>Logical reasoning</t>
        </is>
      </c>
      <c r="C10" s="2" t="inlineStr">
        <is>
          <t>Medium</t>
        </is>
      </c>
      <c r="D10" s="7" t="inlineStr"/>
      <c r="E10" s="7" t="inlineStr"/>
      <c r="F10" s="7" t="inlineStr"/>
    </row>
    <row r="11" ht="28" customHeight="1">
      <c r="A11" s="2" t="inlineStr">
        <is>
          <t>Q09</t>
        </is>
      </c>
      <c r="B11" s="3" t="inlineStr">
        <is>
          <t>Logical reasoning</t>
        </is>
      </c>
      <c r="C11" s="2" t="inlineStr">
        <is>
          <t>Medium</t>
        </is>
      </c>
      <c r="D11" s="7" t="inlineStr"/>
      <c r="E11" s="7" t="inlineStr"/>
      <c r="F11" s="7" t="inlineStr"/>
    </row>
    <row r="12" ht="28" customHeight="1">
      <c r="A12" s="2" t="inlineStr">
        <is>
          <t>Q10</t>
        </is>
      </c>
      <c r="B12" s="3" t="inlineStr">
        <is>
          <t>Logical reasoning</t>
        </is>
      </c>
      <c r="C12" s="2" t="inlineStr">
        <is>
          <t>Hard</t>
        </is>
      </c>
      <c r="D12" s="7" t="inlineStr"/>
      <c r="E12" s="7" t="inlineStr"/>
      <c r="F12" s="7" t="inlineStr"/>
    </row>
    <row r="13" ht="28" customHeight="1">
      <c r="A13" s="2" t="inlineStr">
        <is>
          <t>Q11</t>
        </is>
      </c>
      <c r="B13" s="3" t="inlineStr">
        <is>
          <t>Programming reasoning</t>
        </is>
      </c>
      <c r="C13" s="2" t="inlineStr">
        <is>
          <t>Easy</t>
        </is>
      </c>
      <c r="D13" s="7" t="inlineStr"/>
      <c r="E13" s="7" t="inlineStr"/>
      <c r="F13" s="7" t="inlineStr"/>
    </row>
    <row r="14" ht="28" customHeight="1">
      <c r="A14" s="2" t="inlineStr">
        <is>
          <t>Q12</t>
        </is>
      </c>
      <c r="B14" s="3" t="inlineStr">
        <is>
          <t>Programming reasoning</t>
        </is>
      </c>
      <c r="C14" s="2" t="inlineStr">
        <is>
          <t>Easy</t>
        </is>
      </c>
      <c r="D14" s="7" t="inlineStr"/>
      <c r="E14" s="7" t="inlineStr"/>
      <c r="F14" s="7" t="inlineStr"/>
    </row>
    <row r="15" ht="28" customHeight="1">
      <c r="A15" s="2" t="inlineStr">
        <is>
          <t>Q13</t>
        </is>
      </c>
      <c r="B15" s="3" t="inlineStr">
        <is>
          <t>Programming reasoning</t>
        </is>
      </c>
      <c r="C15" s="2" t="inlineStr">
        <is>
          <t>Medium</t>
        </is>
      </c>
      <c r="D15" s="7" t="inlineStr"/>
      <c r="E15" s="7" t="inlineStr"/>
      <c r="F15" s="7" t="inlineStr"/>
    </row>
    <row r="16" ht="28" customHeight="1">
      <c r="A16" s="2" t="inlineStr">
        <is>
          <t>Q14</t>
        </is>
      </c>
      <c r="B16" s="3" t="inlineStr">
        <is>
          <t>Programming reasoning</t>
        </is>
      </c>
      <c r="C16" s="2" t="inlineStr">
        <is>
          <t>Medium</t>
        </is>
      </c>
      <c r="D16" s="7" t="inlineStr"/>
      <c r="E16" s="7" t="inlineStr"/>
      <c r="F16" s="7" t="inlineStr"/>
    </row>
    <row r="17" ht="28" customHeight="1">
      <c r="A17" s="2" t="inlineStr">
        <is>
          <t>Q15</t>
        </is>
      </c>
      <c r="B17" s="3" t="inlineStr">
        <is>
          <t>Programming reasoning</t>
        </is>
      </c>
      <c r="C17" s="2" t="inlineStr">
        <is>
          <t>Hard</t>
        </is>
      </c>
      <c r="D17" s="7" t="inlineStr"/>
      <c r="E17" s="7" t="inlineStr"/>
      <c r="F17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2026-09-12T15:53:47Z</dcterms:created>
  <dcterms:modified xmlns:dcterms="http://purl.org/dc/terms/" xmlns:xsi="http://www.w3.org/2001/XMLSchema-instance" xsi:type="dcterms:W3CDTF">2026-09-12T15:53:47Z</dcterms:modified>
</cp:coreProperties>
</file>